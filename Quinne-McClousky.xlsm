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slicers/slicer1.xml" ContentType="application/vnd.ms-excel.slicer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50AAB95A-4814-47DA-A2D7-F69F888BB8AC}" xr6:coauthVersionLast="47" xr6:coauthVersionMax="47" xr10:uidLastSave="{00000000-0000-0000-0000-000000000000}"/>
  <bookViews>
    <workbookView xWindow="-120" yWindow="-120" windowWidth="20640" windowHeight="11160" activeTab="1" xr2:uid="{9D2E8716-A6C2-4AC3-BB7D-943B6DF5DFC9}"/>
  </bookViews>
  <sheets>
    <sheet name="Tabla5" sheetId="3" r:id="rId1"/>
    <sheet name="Hoja2" sheetId="2" r:id="rId2"/>
    <sheet name="Hoja1" sheetId="1" r:id="rId3"/>
  </sheets>
  <functionGroups builtInGroupCount="19"/>
  <definedNames>
    <definedName name="DatosExternos_1" localSheetId="0" hidden="1">Tabla5!$A$1:$Q$6</definedName>
    <definedName name="SegmentaciónDeDatos_Salida_1">#N/A</definedName>
    <definedName name="SegmentaciónDeDatos_Salida_2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0" i="2" l="1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M66" i="2"/>
  <c r="M74" i="2"/>
  <c r="M67" i="2"/>
  <c r="M75" i="2"/>
  <c r="M63" i="2"/>
  <c r="M76" i="2"/>
  <c r="M64" i="2"/>
  <c r="M68" i="2"/>
  <c r="M77" i="2"/>
  <c r="M69" i="2"/>
  <c r="M65" i="2"/>
  <c r="M70" i="2"/>
  <c r="M78" i="2"/>
  <c r="M71" i="2"/>
  <c r="M79" i="2"/>
  <c r="M80" i="2"/>
  <c r="M72" i="2"/>
  <c r="M81" i="2"/>
  <c r="M73" i="2"/>
  <c r="M82" i="2"/>
  <c r="M83" i="2"/>
  <c r="M84" i="2"/>
  <c r="M85" i="2"/>
  <c r="M62" i="2"/>
  <c r="F62" i="2"/>
  <c r="F78" i="2"/>
  <c r="F87" i="2"/>
  <c r="F65" i="2"/>
  <c r="F69" i="2"/>
  <c r="F88" i="2"/>
  <c r="F66" i="2"/>
  <c r="F64" i="2"/>
  <c r="F73" i="2"/>
  <c r="F63" i="2"/>
  <c r="F72" i="2"/>
  <c r="F79" i="2"/>
  <c r="F68" i="2"/>
  <c r="F75" i="2"/>
  <c r="F90" i="2"/>
  <c r="F77" i="2"/>
  <c r="F67" i="2"/>
  <c r="F84" i="2"/>
  <c r="F89" i="2"/>
  <c r="F81" i="2"/>
  <c r="F93" i="2"/>
  <c r="F83" i="2"/>
  <c r="F80" i="2"/>
  <c r="F85" i="2"/>
  <c r="F86" i="2"/>
  <c r="F71" i="2"/>
  <c r="F70" i="2"/>
  <c r="F82" i="2"/>
  <c r="F76" i="2"/>
  <c r="F91" i="2"/>
  <c r="F92" i="2"/>
  <c r="F74" i="2"/>
  <c r="S70" i="2" l="1"/>
  <c r="E90" i="2"/>
  <c r="E66" i="2"/>
  <c r="E67" i="2"/>
  <c r="E92" i="2"/>
  <c r="E87" i="2"/>
  <c r="E76" i="2"/>
  <c r="E72" i="2"/>
  <c r="E85" i="2"/>
  <c r="E71" i="2"/>
  <c r="S69" i="2"/>
  <c r="S68" i="2"/>
  <c r="S67" i="2"/>
  <c r="S66" i="2"/>
  <c r="S65" i="2"/>
  <c r="S64" i="2"/>
  <c r="L85" i="2"/>
  <c r="L84" i="2"/>
  <c r="L83" i="2"/>
  <c r="L82" i="2"/>
  <c r="L73" i="2"/>
  <c r="L81" i="2"/>
  <c r="L72" i="2"/>
  <c r="L80" i="2"/>
  <c r="L79" i="2"/>
  <c r="L71" i="2"/>
  <c r="L78" i="2"/>
  <c r="L70" i="2"/>
  <c r="E93" i="2"/>
  <c r="L65" i="2"/>
  <c r="L69" i="2"/>
  <c r="L77" i="2"/>
  <c r="L68" i="2"/>
  <c r="L64" i="2"/>
  <c r="L76" i="2"/>
  <c r="L63" i="2"/>
  <c r="L75" i="2"/>
  <c r="L62" i="2"/>
  <c r="L66" i="2"/>
  <c r="L74" i="2"/>
  <c r="L67" i="2"/>
  <c r="E77" i="2"/>
  <c r="E78" i="2"/>
  <c r="E69" i="2"/>
  <c r="E89" i="2"/>
  <c r="E63" i="2"/>
  <c r="E88" i="2"/>
  <c r="E73" i="2"/>
  <c r="E75" i="2"/>
  <c r="E86" i="2"/>
  <c r="E80" i="2"/>
  <c r="E62" i="2"/>
  <c r="E81" i="2"/>
  <c r="E79" i="2"/>
  <c r="E70" i="2"/>
  <c r="E83" i="2"/>
  <c r="E65" i="2"/>
  <c r="E74" i="2"/>
  <c r="E91" i="2"/>
  <c r="E84" i="2"/>
  <c r="E64" i="2"/>
  <c r="E68" i="2"/>
  <c r="E82" i="2"/>
  <c r="S62" i="2"/>
  <c r="S63" i="2"/>
  <c r="A41" i="2"/>
  <c r="A43" i="2"/>
  <c r="A47" i="2"/>
  <c r="A42" i="2"/>
  <c r="A44" i="2"/>
  <c r="A45" i="2"/>
  <c r="A46" i="2"/>
  <c r="A48" i="2"/>
  <c r="A49" i="2"/>
  <c r="A50" i="2"/>
  <c r="A51" i="2"/>
  <c r="A52" i="2"/>
  <c r="A53" i="2"/>
  <c r="A54" i="2"/>
  <c r="A55" i="2"/>
  <c r="F22" i="2"/>
  <c r="F48" i="2"/>
  <c r="F41" i="2"/>
  <c r="F54" i="2"/>
  <c r="F47" i="2"/>
  <c r="B44" i="2"/>
  <c r="B43" i="2"/>
  <c r="B41" i="2"/>
  <c r="B47" i="2"/>
  <c r="B45" i="2"/>
  <c r="B42" i="2"/>
  <c r="B40" i="2"/>
  <c r="B46" i="2"/>
  <c r="B55" i="2"/>
  <c r="B48" i="2"/>
  <c r="B54" i="2"/>
  <c r="B52" i="2"/>
  <c r="B50" i="2"/>
  <c r="B53" i="2"/>
  <c r="B51" i="2"/>
  <c r="B49" i="2"/>
  <c r="D44" i="2"/>
  <c r="D43" i="2"/>
  <c r="D41" i="2"/>
  <c r="D47" i="2"/>
  <c r="D45" i="2"/>
  <c r="D42" i="2"/>
  <c r="D40" i="2"/>
  <c r="D46" i="2"/>
  <c r="D55" i="2"/>
  <c r="D48" i="2"/>
  <c r="D54" i="2"/>
  <c r="D52" i="2"/>
  <c r="D50" i="2"/>
  <c r="D53" i="2"/>
  <c r="D51" i="2"/>
  <c r="D49" i="2"/>
  <c r="C44" i="2"/>
  <c r="C43" i="2"/>
  <c r="C41" i="2"/>
  <c r="C47" i="2"/>
  <c r="C45" i="2"/>
  <c r="C42" i="2"/>
  <c r="C40" i="2"/>
  <c r="C46" i="2"/>
  <c r="C55" i="2"/>
  <c r="C48" i="2"/>
  <c r="C54" i="2"/>
  <c r="C52" i="2"/>
  <c r="C50" i="2"/>
  <c r="C53" i="2"/>
  <c r="C51" i="2"/>
  <c r="C49" i="2"/>
  <c r="E24" i="2"/>
  <c r="E25" i="2"/>
  <c r="E26" i="2"/>
  <c r="E28" i="2"/>
  <c r="E30" i="2"/>
  <c r="E29" i="2"/>
  <c r="E27" i="2"/>
  <c r="E31" i="2"/>
  <c r="E32" i="2"/>
  <c r="E34" i="2"/>
  <c r="E33" i="2"/>
  <c r="E51" i="2" s="1"/>
  <c r="E35" i="2"/>
  <c r="E36" i="2"/>
  <c r="E37" i="2"/>
  <c r="E23" i="2"/>
  <c r="E41" i="2" s="1"/>
  <c r="E22" i="2"/>
  <c r="E47" i="2" l="1"/>
  <c r="F45" i="2"/>
  <c r="F46" i="2"/>
  <c r="E46" i="2"/>
  <c r="F42" i="2"/>
  <c r="E43" i="2"/>
  <c r="E44" i="2"/>
  <c r="E48" i="2"/>
  <c r="F50" i="2"/>
  <c r="E42" i="2"/>
  <c r="E50" i="2"/>
  <c r="E49" i="2"/>
  <c r="F49" i="2"/>
  <c r="F40" i="2"/>
  <c r="F44" i="2"/>
  <c r="F55" i="2"/>
  <c r="F43" i="2"/>
  <c r="F52" i="2"/>
  <c r="F51" i="2"/>
  <c r="F53" i="2"/>
  <c r="E53" i="2"/>
  <c r="E54" i="2"/>
  <c r="E52" i="2"/>
  <c r="E55" i="2"/>
  <c r="E40" i="2"/>
  <c r="E4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5A5479-CFE8-4F53-B479-0D9AEA405D6E}" keepAlive="1" name="Consulta - Tabla5" description="Conexión a la consulta 'Tabla5' en el libro." type="5" refreshedVersion="8" background="1" saveData="1">
    <dbPr connection="Provider=Microsoft.Mashup.OleDb.1;Data Source=$Workbook$;Location=Tabla5;Extended Properties=&quot;&quot;" command="SELECT * FROM [Tabla5]"/>
  </connection>
</connections>
</file>

<file path=xl/sharedStrings.xml><?xml version="1.0" encoding="utf-8"?>
<sst xmlns="http://schemas.openxmlformats.org/spreadsheetml/2006/main" count="123" uniqueCount="46">
  <si>
    <t>Columna1</t>
  </si>
  <si>
    <t>Columna2</t>
  </si>
  <si>
    <t>Columna3</t>
  </si>
  <si>
    <t>Columna4</t>
  </si>
  <si>
    <t>Columna5</t>
  </si>
  <si>
    <t>A</t>
  </si>
  <si>
    <t>B</t>
  </si>
  <si>
    <t>C</t>
  </si>
  <si>
    <t>D</t>
  </si>
  <si>
    <t>Salida</t>
  </si>
  <si>
    <t>Salida_1</t>
  </si>
  <si>
    <t>1's en fila</t>
  </si>
  <si>
    <t>Salida_2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</si>
  <si>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</si>
  <si>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</si>
  <si>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</si>
  <si>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</si>
  <si>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</si>
  <si>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</si>
  <si>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</si>
  <si>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</si>
  <si>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</si>
  <si>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</si>
  <si>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</si>
  <si>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</si>
  <si>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</si>
  <si>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</si>
  <si>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</si>
  <si>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</si>
  <si>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</si>
  <si>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Salida_3</t>
  </si>
  <si>
    <t>Salida_4</t>
  </si>
  <si>
    <t>Salida_5</t>
  </si>
  <si>
    <t>N de resultados</t>
  </si>
  <si>
    <t>ordenamiento</t>
  </si>
  <si>
    <t>Resultados  con 3 'X'</t>
  </si>
  <si>
    <t>Ejemplo</t>
  </si>
  <si>
    <t>Ejemplo 2</t>
  </si>
  <si>
    <t>Solución de Ejemplo 1 si se usa mapa K</t>
  </si>
  <si>
    <t>Ejem Teams</t>
  </si>
  <si>
    <t>Resultados  con elementos no combinados</t>
  </si>
  <si>
    <t>X</t>
  </si>
  <si>
    <t>Elementos sin Emparejar sin X</t>
  </si>
  <si>
    <t>Elementos sin Emparejar 1 X</t>
  </si>
  <si>
    <t>Elementos sin Emparejar 2X</t>
  </si>
  <si>
    <t>El método no da la función totalmente simplificada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</si>
</sst>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6" tint="0.39997558519241921"/>
      </top>
      <bottom style="thin">
        <color theme="4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/>
      <diagonal/>
    </border>
  </borders>
  <cellStyleXfs count="4">
    <xf numFmtId="0" fontId="0" fillId="0" borderId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7" fillId="9" borderId="0" applyNumberFormat="0" applyBorder="0" applyAlignment="0" applyProtection="0"/>
  </cellStyleXfs>
  <cellXfs count="43">
    <xf numFmtId="0" fontId="0" fillId="0" borderId="0" xfId="0"/>
    <xf numFmtId="0" fontId="0" fillId="3" borderId="1" xfId="0" applyFill="1" applyBorder="1"/>
    <xf numFmtId="0" fontId="0" fillId="0" borderId="1" xfId="0" applyBorder="1"/>
    <xf numFmtId="0" fontId="0" fillId="0" borderId="0" xfId="0" quotePrefix="1"/>
    <xf numFmtId="0" fontId="0" fillId="3" borderId="1" xfId="0" quotePrefix="1" applyFill="1" applyBorder="1"/>
    <xf numFmtId="0" fontId="1" fillId="2" borderId="2" xfId="0" applyFont="1" applyFill="1" applyBorder="1"/>
    <xf numFmtId="0" fontId="0" fillId="0" borderId="3" xfId="0" applyBorder="1"/>
    <xf numFmtId="0" fontId="0" fillId="0" borderId="2" xfId="0" applyBorder="1"/>
    <xf numFmtId="0" fontId="0" fillId="4" borderId="4" xfId="0" applyFill="1" applyBorder="1"/>
    <xf numFmtId="0" fontId="0" fillId="0" borderId="4" xfId="0" applyBorder="1"/>
    <xf numFmtId="0" fontId="0" fillId="4" borderId="0" xfId="0" applyFill="1"/>
    <xf numFmtId="0" fontId="0" fillId="4" borderId="2" xfId="0" applyFill="1" applyBorder="1"/>
    <xf numFmtId="2" fontId="1" fillId="2" borderId="2" xfId="0" applyNumberFormat="1" applyFont="1" applyFill="1" applyBorder="1"/>
    <xf numFmtId="1" fontId="0" fillId="3" borderId="1" xfId="0" applyNumberFormat="1" applyFill="1" applyBorder="1"/>
    <xf numFmtId="1" fontId="0" fillId="4" borderId="4" xfId="0" applyNumberFormat="1" applyFill="1" applyBorder="1"/>
    <xf numFmtId="1" fontId="0" fillId="4" borderId="1" xfId="0" applyNumberFormat="1" applyFill="1" applyBorder="1"/>
    <xf numFmtId="1" fontId="0" fillId="0" borderId="4" xfId="0" applyNumberFormat="1" applyBorder="1"/>
    <xf numFmtId="1" fontId="0" fillId="0" borderId="1" xfId="0" applyNumberFormat="1" applyBorder="1"/>
    <xf numFmtId="1" fontId="0" fillId="4" borderId="5" xfId="0" applyNumberFormat="1" applyFill="1" applyBorder="1"/>
    <xf numFmtId="1" fontId="0" fillId="4" borderId="0" xfId="0" applyNumberFormat="1" applyFill="1"/>
    <xf numFmtId="1" fontId="0" fillId="3" borderId="0" xfId="0" applyNumberFormat="1" applyFill="1"/>
    <xf numFmtId="1" fontId="0" fillId="0" borderId="0" xfId="0" applyNumberFormat="1"/>
    <xf numFmtId="1" fontId="0" fillId="4" borderId="3" xfId="0" applyNumberForma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3" borderId="6" xfId="0" applyFill="1" applyBorder="1"/>
    <xf numFmtId="0" fontId="0" fillId="0" borderId="6" xfId="0" applyBorder="1"/>
    <xf numFmtId="0" fontId="1" fillId="7" borderId="10" xfId="0" applyFont="1" applyFill="1" applyBorder="1"/>
    <xf numFmtId="0" fontId="4" fillId="8" borderId="8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8" borderId="7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0" fontId="4" fillId="8" borderId="1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5" borderId="0" xfId="1" applyAlignment="1">
      <alignment horizontal="center"/>
    </xf>
    <xf numFmtId="0" fontId="6" fillId="6" borderId="0" xfId="2" applyAlignment="1">
      <alignment horizontal="center"/>
    </xf>
    <xf numFmtId="0" fontId="7" fillId="9" borderId="0" xfId="3" applyAlignment="1">
      <alignment horizontal="center"/>
    </xf>
  </cellXfs>
  <cellStyles count="4">
    <cellStyle name="60% - Énfasis6" xfId="3" builtinId="52"/>
    <cellStyle name="Bueno" xfId="2" builtinId="26"/>
    <cellStyle name="Incorrecto" xfId="1" builtinId="27"/>
    <cellStyle name="Normal" xfId="0" builtinId="0"/>
  </cellStyles>
  <dxfs count="5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border outline="0">
        <top style="thin">
          <color theme="7" tint="0.39997558519241921"/>
        </top>
      </border>
    </dxf>
    <dxf>
      <border outline="0"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theme="7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7"/>
          <bgColor theme="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border outline="0">
        <top style="thin">
          <color theme="7" tint="0.39997558519241921"/>
        </top>
      </border>
    </dxf>
    <dxf>
      <border outline="0"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theme="7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7"/>
          <bgColor theme="7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</font>
      <alignment horizontal="center" vertical="bottom" textRotation="0" wrapText="0" indent="0" justifyLastLine="0" shrinkToFit="0" readingOrder="0"/>
    </dxf>
    <dxf>
      <font>
        <b/>
        <i val="0"/>
      </font>
      <alignment horizontal="center" vertical="bottom" textRotation="0" wrapText="0" indent="0" justifyLastLine="0" shrinkToFit="0" readingOrder="0"/>
    </dxf>
    <dxf>
      <font>
        <b/>
        <i val="0"/>
      </font>
      <alignment horizontal="center" vertical="bottom" textRotation="0" wrapText="0" indent="0" justifyLastLine="0" shrinkToFit="0" readingOrder="0"/>
    </dxf>
    <dxf>
      <font>
        <b/>
        <i val="0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numFmt numFmtId="0" formatCode="General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6" tint="0.79998168889431442"/>
          <bgColor theme="6" tint="0.79998168889431442"/>
        </patternFill>
      </fill>
      <border diagonalUp="0" diagonalDown="0">
        <left/>
        <right/>
        <top style="thin">
          <color theme="6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2.xml"/><Relationship Id="rId10" Type="http://schemas.openxmlformats.org/officeDocument/2006/relationships/calcChain" Target="calcChain.xml"/><Relationship Id="rId4" Type="http://schemas.microsoft.com/office/2007/relationships/slicerCache" Target="slicerCaches/slicerCache1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495300</xdr:colOff>
      <xdr:row>19</xdr:row>
      <xdr:rowOff>47625</xdr:rowOff>
    </xdr:from>
    <xdr:to>
      <xdr:col>10</xdr:col>
      <xdr:colOff>9525</xdr:colOff>
      <xdr:row>35</xdr:row>
      <xdr:rowOff>95250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Salida_1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alida_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29325" y="36671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423523</xdr:colOff>
      <xdr:row>23</xdr:row>
      <xdr:rowOff>187439</xdr:rowOff>
    </xdr:from>
    <xdr:to>
      <xdr:col>14</xdr:col>
      <xdr:colOff>731725</xdr:colOff>
      <xdr:row>39</xdr:row>
      <xdr:rowOff>44564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Salida_2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alida_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12452" y="4378439"/>
              <a:ext cx="183220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56</xdr:row>
          <xdr:rowOff>0</xdr:rowOff>
        </xdr:from>
        <xdr:to>
          <xdr:col>8</xdr:col>
          <xdr:colOff>228600</xdr:colOff>
          <xdr:row>57</xdr:row>
          <xdr:rowOff>85725</xdr:rowOff>
        </xdr:to>
        <xdr:sp macro="" textlink="">
          <xdr:nvSpPr>
            <xdr:cNvPr id="1088" name="CommandButton1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138792</xdr:colOff>
          <xdr:row>51</xdr:row>
          <xdr:rowOff>9525</xdr:rowOff>
        </xdr:from>
        <xdr:to>
          <xdr:col>11</xdr:col>
          <xdr:colOff>691242</xdr:colOff>
          <xdr:row>54</xdr:row>
          <xdr:rowOff>28575</xdr:rowOff>
        </xdr:to>
        <xdr:sp macro="" textlink="">
          <xdr:nvSpPr>
            <xdr:cNvPr id="117992" name="Button 81128" hidden="1">
              <a:extLst>
                <a:ext uri="{63B3BB69-23CF-44E3-9099-C40C66FF867C}">
                  <a14:compatExt spid="_x0000_s117992"/>
                </a:ext>
                <a:ext uri="{FF2B5EF4-FFF2-40B4-BE49-F238E27FC236}">
                  <a16:creationId xmlns:a16="http://schemas.microsoft.com/office/drawing/2014/main" id="{00000000-0008-0000-0100-0000E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Operar 4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48</xdr:row>
          <xdr:rowOff>76200</xdr:rowOff>
        </xdr:from>
        <xdr:to>
          <xdr:col>11</xdr:col>
          <xdr:colOff>638175</xdr:colOff>
          <xdr:row>50</xdr:row>
          <xdr:rowOff>28575</xdr:rowOff>
        </xdr:to>
        <xdr:sp macro="" textlink="">
          <xdr:nvSpPr>
            <xdr:cNvPr id="117993" name="Button 81129" hidden="1">
              <a:extLst>
                <a:ext uri="{63B3BB69-23CF-44E3-9099-C40C66FF867C}">
                  <a14:compatExt spid="_x0000_s117993"/>
                </a:ext>
                <a:ext uri="{FF2B5EF4-FFF2-40B4-BE49-F238E27FC236}">
                  <a16:creationId xmlns:a16="http://schemas.microsoft.com/office/drawing/2014/main" id="{00000000-0008-0000-0100-0000E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Tablas</a:t>
              </a:r>
            </a:p>
            <a:p>
              <a:pPr algn="ctr" rtl="0">
                <a:defRPr sz="1000"/>
              </a:pPr>
              <a:endParaRPr lang="es-MX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18</xdr:col>
      <xdr:colOff>285751</xdr:colOff>
      <xdr:row>48</xdr:row>
      <xdr:rowOff>13606</xdr:rowOff>
    </xdr:from>
    <xdr:to>
      <xdr:col>25</xdr:col>
      <xdr:colOff>394608</xdr:colOff>
      <xdr:row>53</xdr:row>
      <xdr:rowOff>80423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09965" y="9157606"/>
          <a:ext cx="6368143" cy="1019317"/>
        </a:xfrm>
        <a:prstGeom prst="rect">
          <a:avLst/>
        </a:prstGeom>
      </xdr:spPr>
    </xdr:pic>
    <xdr:clientData/>
  </xdr:twoCellAnchor>
  <xdr:twoCellAnchor editAs="oneCell">
    <xdr:from>
      <xdr:col>26</xdr:col>
      <xdr:colOff>367392</xdr:colOff>
      <xdr:row>44</xdr:row>
      <xdr:rowOff>81643</xdr:rowOff>
    </xdr:from>
    <xdr:to>
      <xdr:col>28</xdr:col>
      <xdr:colOff>549969</xdr:colOff>
      <xdr:row>57</xdr:row>
      <xdr:rowOff>182612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03392" y="8463643"/>
          <a:ext cx="2142006" cy="2577469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571500</xdr:colOff>
      <xdr:row>49</xdr:row>
      <xdr:rowOff>39543</xdr:rowOff>
    </xdr:from>
    <xdr:to>
      <xdr:col>35</xdr:col>
      <xdr:colOff>625928</xdr:colOff>
      <xdr:row>51</xdr:row>
      <xdr:rowOff>166095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66929" y="9374043"/>
          <a:ext cx="5606142" cy="507552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72966FF-3E8E-4BAC-A5A0-FE86EB7B9F92}" autoFormatId="16" applyNumberFormats="0" applyBorderFormats="0" applyFontFormats="0" applyPatternFormats="0" applyAlignmentFormats="0" applyWidthHeightFormats="0">
  <queryTableRefresh nextId="18">
    <queryTableFields count="1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alida_1" xr10:uid="{E3B74B93-B807-480C-B892-D9F373AD2A5D}" sourceName="Salida_1">
  <extLst>
    <x:ext xmlns:x15="http://schemas.microsoft.com/office/spreadsheetml/2010/11/main" uri="{2F2917AC-EB37-4324-AD4E-5DD8C200BD13}">
      <x15:tableSlicerCache tableId="4" column="5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alida_2" xr10:uid="{017FC532-C771-437D-896F-E51D8570A308}" sourceName="Salida_2">
  <extLst>
    <x:ext xmlns:x15="http://schemas.microsoft.com/office/spreadsheetml/2010/11/main" uri="{2F2917AC-EB37-4324-AD4E-5DD8C200BD13}">
      <x15:tableSlicerCache tableId="5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alida_1" xr10:uid="{6F9BAB17-1544-48CB-BB59-27E86E63AF9A}" cache="SegmentaciónDeDatos_Salida_1" caption="Salida_1" rowHeight="241300"/>
  <slicer name="Salida_2" xr10:uid="{E9D77483-5955-48BA-AD46-088B20C18B02}" cache="SegmentaciónDeDatos_Salida_2" caption="Salida_2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1D2F32-551A-46B9-AF59-C7FB41C16CD8}" name="Tabla5_1" displayName="Tabla5_1" ref="A1:Q6" tableType="queryTable" totalsRowShown="0">
  <autoFilter ref="A1:Q6" xr:uid="{861D2F32-551A-46B9-AF59-C7FB41C16CD8}"/>
  <tableColumns count="17">
    <tableColumn id="1" xr3:uid="{0F9EF259-FCD3-4236-B8FA-B115210B2DC4}" uniqueName="1" name="Column1" queryTableFieldId="1"/>
    <tableColumn id="2" xr3:uid="{FF8AD0DB-6675-406E-B186-4CDDA1952CAE}" uniqueName="2" name="Column2" queryTableFieldId="2"/>
    <tableColumn id="3" xr3:uid="{FAFC0F29-1BD6-4FD0-8D9A-E4A6E4E0891E}" uniqueName="3" name="Column3" queryTableFieldId="3"/>
    <tableColumn id="4" xr3:uid="{044D4C0F-2A44-4411-8B0D-201390294EE2}" uniqueName="4" name="Column4" queryTableFieldId="4"/>
    <tableColumn id="5" xr3:uid="{6E0449E6-1B12-4159-8E3E-4E6A4A5AFD66}" uniqueName="5" name="Column5" queryTableFieldId="5"/>
    <tableColumn id="6" xr3:uid="{48883ECC-0C9B-4055-8E27-4275902D5C36}" uniqueName="6" name="Column6" queryTableFieldId="6"/>
    <tableColumn id="7" xr3:uid="{B0093320-8DF9-4854-9F44-A39407B89063}" uniqueName="7" name="Column7" queryTableFieldId="7"/>
    <tableColumn id="8" xr3:uid="{C34B828C-0E6D-45DE-84C5-184F407BD845}" uniqueName="8" name="Column8" queryTableFieldId="8"/>
    <tableColumn id="9" xr3:uid="{DB655FF3-D2E0-4E8E-8AD0-CE37ACB76C61}" uniqueName="9" name="Column9" queryTableFieldId="9"/>
    <tableColumn id="10" xr3:uid="{2286B16C-9F3A-4D94-9723-8DBE81E48D26}" uniqueName="10" name="Column10" queryTableFieldId="10"/>
    <tableColumn id="11" xr3:uid="{C49F47F0-456F-4F06-9BCF-C34C76F629B8}" uniqueName="11" name="Column11" queryTableFieldId="11"/>
    <tableColumn id="12" xr3:uid="{8C6D8E36-5482-40FE-9D78-90E24C656FD0}" uniqueName="12" name="Column12" queryTableFieldId="12"/>
    <tableColumn id="13" xr3:uid="{28B0248A-32AA-4B82-841A-ED4EF7804DD0}" uniqueName="13" name="Column13" queryTableFieldId="13"/>
    <tableColumn id="14" xr3:uid="{6C56016C-9F2B-4648-B8B4-8CD3EF256D60}" uniqueName="14" name="Column14" queryTableFieldId="14"/>
    <tableColumn id="15" xr3:uid="{726E9D01-3016-44A2-8CC1-8B0E8F6BE5FC}" uniqueName="15" name="Column15" queryTableFieldId="15"/>
    <tableColumn id="16" xr3:uid="{C6CCD91B-4DAA-471F-91DC-7D3BFF9F7CC0}" uniqueName="16" name="Column16" queryTableFieldId="16"/>
    <tableColumn id="17" xr3:uid="{60AFBBE0-38BA-43C1-953B-CA422C2CCDBE}" uniqueName="17" name="Column17" queryTableField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7393B5-B5B2-4D74-A5C9-556AD535D2D8}" name="Tabla2" displayName="Tabla2" ref="A1:E19" totalsRowShown="0">
  <autoFilter ref="A1:E19" xr:uid="{6F7393B5-B5B2-4D74-A5C9-556AD535D2D8}"/>
  <tableColumns count="5">
    <tableColumn id="1" xr3:uid="{D03EFA1F-AD30-480B-826F-F103F52F5D0E}" name="A"/>
    <tableColumn id="2" xr3:uid="{A92D4AF7-553B-4D48-95AB-DD106FFA6F8E}" name="B"/>
    <tableColumn id="3" xr3:uid="{F24B5F65-D9F1-4726-B85B-5603DA0FF1A1}" name="C"/>
    <tableColumn id="4" xr3:uid="{122AF403-351B-4468-9F57-E89F5664FD03}" name="D"/>
    <tableColumn id="5" xr3:uid="{7BFEAA14-8055-4B22-880D-B1AFF0F30F59}" name="Sali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B889980-22E7-4622-877D-4496FEFC6919}" name="Tabla35" displayName="Tabla35" ref="A21:F37" totalsRowShown="0" headerRowDxfId="57" dataDxfId="55" headerRowBorderDxfId="56" tableBorderDxfId="54" totalsRowBorderDxfId="53">
  <autoFilter ref="A21:F37" xr:uid="{3B889980-22E7-4622-877D-4496FEFC6919}">
    <filterColumn colId="4">
      <filters>
        <filter val="1"/>
      </filters>
    </filterColumn>
  </autoFilter>
  <tableColumns count="6">
    <tableColumn id="1" xr3:uid="{5B59174D-8B85-429F-A290-928D9F5019D5}" name="A" dataDxfId="52"/>
    <tableColumn id="2" xr3:uid="{BE7EA9AB-F510-4EE9-8C4D-49BC6458A205}" name="B" dataDxfId="51"/>
    <tableColumn id="3" xr3:uid="{5EECE01E-B516-4C67-A703-30FF02AF5698}" name="C" dataDxfId="50"/>
    <tableColumn id="4" xr3:uid="{FDDBA2BA-A521-4097-9C4F-4CAB27553600}" name="D" dataDxfId="49"/>
    <tableColumn id="5" xr3:uid="{F72512F7-0542-406B-A8C3-B446344C39CF}" name="Salida_1" dataDxfId="48">
      <calculatedColumnFormula>$E2</calculatedColumnFormula>
    </tableColumn>
    <tableColumn id="6" xr3:uid="{3358DA50-5627-4373-9A77-718CBC2FB471}" name="1's en fila" dataDxfId="47">
      <calculatedColumnFormula>Tabla35[[#This Row],[A]] + Tabla35[[#This Row],[B]] + Tabla35[[#This Row],[C]] + Tabla35[[#This Row],[D]]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723BA88-AB67-4BB7-B0CE-08EFC7FE1A5A}" name="Tabla5" displayName="Tabla5" ref="A39:F55" totalsRowShown="0" headerRowDxfId="46" headerRowBorderDxfId="45" tableBorderDxfId="44">
  <autoFilter ref="A39:F55" xr:uid="{6723BA88-AB67-4BB7-B0CE-08EFC7FE1A5A}"/>
  <tableColumns count="6">
    <tableColumn id="1" xr3:uid="{BF31C76C-34E3-4039-A879-426798833FB1}" name="A">
      <calculatedColumnFormula>$A22</calculatedColumnFormula>
    </tableColumn>
    <tableColumn id="2" xr3:uid="{7A844FF1-2B1D-42AE-86B9-CAE7A475ACF4}" name="B"/>
    <tableColumn id="3" xr3:uid="{C974CFBF-9BB4-4B44-9ED2-CE232BE4DAB7}" name="C" dataDxfId="43">
      <calculatedColumnFormula>$C22</calculatedColumnFormula>
    </tableColumn>
    <tableColumn id="4" xr3:uid="{F4FB4579-F262-432A-8F08-3BE1EC947E8E}" name="D" dataDxfId="42">
      <calculatedColumnFormula>$D22</calculatedColumnFormula>
    </tableColumn>
    <tableColumn id="5" xr3:uid="{46F8D3ED-B37E-4A45-B5DA-5D4B5100C974}" name="Salida_2" dataDxfId="41">
      <calculatedColumnFormula>$E22</calculatedColumnFormula>
    </tableColumn>
    <tableColumn id="6" xr3:uid="{5EC0E382-F2EA-44AC-8DB7-64E1712F7CE5}" name="1's en fila" dataDxfId="40">
      <calculatedColumnFormula>$F22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F69A2A3-6B84-44A8-A78C-F6F11B71E1D3}" name="Tabla1X" displayName="Tabla1X" ref="A61:F93" totalsRowShown="0">
  <autoFilter ref="A61:F93" xr:uid="{BF69A2A3-6B84-44A8-A78C-F6F11B71E1D3}"/>
  <sortState xmlns:xlrd2="http://schemas.microsoft.com/office/spreadsheetml/2017/richdata2" ref="A62:F93">
    <sortCondition descending="1" ref="F62:F93"/>
  </sortState>
  <tableColumns count="6">
    <tableColumn id="1" xr3:uid="{ED8520E3-D1CB-40A5-860E-A36C767596C9}" name="A" dataDxfId="39"/>
    <tableColumn id="2" xr3:uid="{4AA88E60-5BC8-45BB-9428-1D85BF756BCC}" name="B" dataDxfId="38"/>
    <tableColumn id="3" xr3:uid="{2BCB7F0D-7569-4324-953D-E80F67ED9C10}" name="C" dataDxfId="37"/>
    <tableColumn id="4" xr3:uid="{538E1DD9-57AB-4F26-B5C2-8787CBCDA62D}" name="D" dataDxfId="36"/>
    <tableColumn id="5" xr3:uid="{128C85AB-D2FA-4DA2-8316-B0C8F1DD5521}" name="Salida_3" dataDxfId="35">
      <calculatedColumnFormula>1</calculatedColumnFormula>
    </tableColumn>
    <tableColumn id="6" xr3:uid="{9BFBA33E-2FE7-480A-BF68-FF5678ABD208}" name="ordenamiento" dataDxfId="34">
      <calculatedColumnFormula>IF(Tabla1X[[#This Row],[A]] = "X", 1, IF(Tabla1X[[#This Row],[B]] = "X", 2, IF(Tabla1X[[#This Row],[C]] = "X", 3, 4)) 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BFE29C-9326-49E3-BC26-2AC7C6F4D9C7}" name="Tabla2X" displayName="Tabla2X" ref="H61:M85" totalsRowShown="0">
  <autoFilter ref="H61:M85" xr:uid="{92BFE29C-9326-49E3-BC26-2AC7C6F4D9C7}"/>
  <sortState xmlns:xlrd2="http://schemas.microsoft.com/office/spreadsheetml/2017/richdata2" ref="H62:M85">
    <sortCondition ref="M62:M85" customList="4,3,2,1"/>
  </sortState>
  <tableColumns count="6">
    <tableColumn id="1" xr3:uid="{E5E464D5-42EA-450C-B89B-15D24C0F435C}" name="A" dataDxfId="33"/>
    <tableColumn id="2" xr3:uid="{FFB388F8-11D6-4876-85F3-ACB274064759}" name="B" dataDxfId="32"/>
    <tableColumn id="3" xr3:uid="{CC4F54DD-6E99-4A9E-9C4C-D96D33368840}" name="C" dataDxfId="31"/>
    <tableColumn id="4" xr3:uid="{A151A1FE-125F-40CF-9970-C3D83163E4B9}" name="D" dataDxfId="30"/>
    <tableColumn id="5" xr3:uid="{2AC0EDA6-D8D5-4790-AD95-D6837B3A45A0}" name="Salida_4" dataDxfId="29">
      <calculatedColumnFormula>1</calculatedColumnFormula>
    </tableColumn>
    <tableColumn id="6" xr3:uid="{41A3E38F-C91C-41AA-B008-050A7B568903}" name="ordenamiento" dataDxfId="28">
      <calculatedColumnFormula>IF(Tabla2X[[#This Row],[A]] = "X", 1, IF(Tabla2X[[#This Row],[B]] = "X", 2, IF(Tabla2X[[#This Row],[C]] = "X", 3, 4)) 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8715F03-1FA7-4CD6-904A-D63706C978AB}" name="Tabla3X" displayName="Tabla3X" ref="O61:S70" totalsRowShown="0">
  <autoFilter ref="O61:S70" xr:uid="{B8715F03-1FA7-4CD6-904A-D63706C978AB}"/>
  <tableColumns count="5">
    <tableColumn id="1" xr3:uid="{EFD2AA09-D3CA-4B51-9893-D2A053FECB8D}" name="A" dataDxfId="27"/>
    <tableColumn id="2" xr3:uid="{341EAAE5-65CB-46F3-9759-C13AA2187B10}" name="B" dataDxfId="26"/>
    <tableColumn id="3" xr3:uid="{08A09108-0D1C-4A2B-8430-9D6CE59CF013}" name="C" dataDxfId="25"/>
    <tableColumn id="4" xr3:uid="{88DCE3CD-63C4-47AE-B0EF-D7427D24319F}" name="D" dataDxfId="24"/>
    <tableColumn id="6" xr3:uid="{E456CF70-4EE3-43E0-915A-C27B8D661BF5}" name="Salida_5" dataDxfId="23">
      <calculatedColumnFormula>1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31924E-B32B-410D-B515-D7AA1670C642}" name="TablaNo" displayName="TablaNo" ref="U61:X93" totalsRowShown="0" dataDxfId="22">
  <autoFilter ref="U61:X93" xr:uid="{DB31924E-B32B-410D-B515-D7AA1670C642}"/>
  <tableColumns count="4">
    <tableColumn id="1" xr3:uid="{566B8C34-2F4B-4701-933D-37900FD7F526}" name="A" dataDxfId="21"/>
    <tableColumn id="2" xr3:uid="{96803BD3-829A-4EE2-A039-E8C64FB82C4F}" name="B" dataDxfId="20"/>
    <tableColumn id="3" xr3:uid="{AABBAFBE-B6BD-4AA9-8B16-C51C3C34E22C}" name="C" dataDxfId="19"/>
    <tableColumn id="4" xr3:uid="{4881CF67-234D-4AF6-B246-8B1C1E97E7CE}" name="D" dataDxfId="18"/>
  </tableColumns>
  <tableStyleInfo name="TableStyleMedium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EA98905-85EB-47E9-A714-AC3905A246F7}" name="TablaNoEmparejados2X" displayName="TablaNoEmparejados2X" ref="Z61:AC78" totalsRowShown="0" headerRowDxfId="17" dataDxfId="15" headerRowBorderDxfId="16" tableBorderDxfId="14" totalsRowBorderDxfId="13">
  <autoFilter ref="Z61:AC78" xr:uid="{7EA98905-85EB-47E9-A714-AC3905A246F7}"/>
  <tableColumns count="4">
    <tableColumn id="1" xr3:uid="{EA3D8A51-27CC-4B7C-9BC2-60D437D3C197}" name="A" dataDxfId="12"/>
    <tableColumn id="2" xr3:uid="{BF1099F3-4918-44BA-AD5D-531665D6123C}" name="B" dataDxfId="11"/>
    <tableColumn id="3" xr3:uid="{6A0C6A2C-59D1-4C6C-84D5-A261E4291527}" name="C" dataDxfId="10"/>
    <tableColumn id="4" xr3:uid="{6C2A49D1-F804-46A7-B6F2-D5616AF085FF}" name="D" dataDxfId="9"/>
  </tableColumns>
  <tableStyleInfo name="TableStyleLight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4C60F32-329F-4105-A99B-6DF4E2343C73}" name="TablaNoEmparejados3X" displayName="TablaNoEmparejados3X" ref="AE61:AH72" totalsRowShown="0" headerRowDxfId="8" dataDxfId="6" headerRowBorderDxfId="7" tableBorderDxfId="5" totalsRowBorderDxfId="4">
  <autoFilter ref="AE61:AH72" xr:uid="{54C60F32-329F-4105-A99B-6DF4E2343C73}"/>
  <tableColumns count="4">
    <tableColumn id="1" xr3:uid="{E0579AA0-1695-424A-910F-7B2AA0CAC666}" name="A" dataDxfId="3"/>
    <tableColumn id="2" xr3:uid="{2DFBDB27-B434-421F-9EA9-F93D8AC98096}" name="B" dataDxfId="2"/>
    <tableColumn id="3" xr3:uid="{9F1120A0-E012-41FF-ADA2-539F10AE0DCC}" name="C" dataDxfId="1"/>
    <tableColumn id="4" xr3:uid="{29147125-050C-4F6E-A0A2-4737A04B3CCC}" name="D" dataDxfId="0"/>
  </tableColumns>
  <tableStyleInfo name="TableStyleLight1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CE4A60-9F73-4290-BB25-F41B570D41C7}" name="Tabla1" displayName="Tabla1" ref="A1:E16" totalsRowShown="0">
  <autoFilter ref="A1:E16" xr:uid="{1CCE4A60-9F73-4290-BB25-F41B570D41C7}"/>
  <tableColumns count="5">
    <tableColumn id="1" xr3:uid="{7F1B0360-87B6-4CAB-B541-112B7CCB7DD4}" name="Columna1"/>
    <tableColumn id="2" xr3:uid="{3E7112A2-F783-4816-8B2D-5ED851BA4329}" name="Columna2"/>
    <tableColumn id="3" xr3:uid="{4926CD32-AB74-435B-801C-5735D2BC2E58}" name="Columna3"/>
    <tableColumn id="4" xr3:uid="{B17F1517-7890-444A-8716-58A110299F05}" name="Columna4"/>
    <tableColumn id="5" xr3:uid="{97FC288A-C8B9-4F75-9EF7-5E8530AC1CAC}" name="Columna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13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table" Target="../tables/table6.xml"/><Relationship Id="rId17" Type="http://schemas.microsoft.com/office/2007/relationships/slicer" Target="../slicers/slicer1.xml"/><Relationship Id="rId2" Type="http://schemas.openxmlformats.org/officeDocument/2006/relationships/drawing" Target="../drawings/drawing1.xml"/><Relationship Id="rId16" Type="http://schemas.openxmlformats.org/officeDocument/2006/relationships/table" Target="../tables/table10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5.xml"/><Relationship Id="rId5" Type="http://schemas.openxmlformats.org/officeDocument/2006/relationships/image" Target="../media/image1.emf"/><Relationship Id="rId15" Type="http://schemas.openxmlformats.org/officeDocument/2006/relationships/table" Target="../tables/table9.xml"/><Relationship Id="rId10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Relationship Id="rId14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F91D3-D846-4BF4-A654-874E4E57BCF3}">
  <sheetPr codeName="Hoja2"/>
  <dimension ref="A1:Q6"/>
  <sheetViews>
    <sheetView topLeftCell="A7" workbookViewId="0">
      <selection activeCell="A8" sqref="A8"/>
    </sheetView>
  </sheetViews>
  <sheetFormatPr baseColWidth="10" defaultRowHeight="15" x14ac:dyDescent="0.25"/>
  <cols>
    <col min="1" max="9" width="11.140625" bestFit="1" customWidth="1"/>
    <col min="10" max="17" width="12.140625" bestFit="1" customWidth="1"/>
  </cols>
  <sheetData>
    <row r="1" spans="1:17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</row>
    <row r="2" spans="1:1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1</v>
      </c>
      <c r="G2">
        <v>0</v>
      </c>
      <c r="H2">
        <v>0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  <row r="3" spans="1:17" x14ac:dyDescent="0.25">
      <c r="A3">
        <v>0</v>
      </c>
      <c r="B3">
        <v>0</v>
      </c>
      <c r="C3">
        <v>0</v>
      </c>
      <c r="D3">
        <v>0</v>
      </c>
      <c r="E3">
        <v>1</v>
      </c>
      <c r="F3">
        <v>0</v>
      </c>
      <c r="G3">
        <v>1</v>
      </c>
      <c r="H3">
        <v>1</v>
      </c>
      <c r="I3">
        <v>1</v>
      </c>
      <c r="J3">
        <v>0</v>
      </c>
      <c r="K3">
        <v>0</v>
      </c>
      <c r="L3">
        <v>1</v>
      </c>
      <c r="M3">
        <v>0</v>
      </c>
      <c r="N3">
        <v>1</v>
      </c>
      <c r="O3">
        <v>1</v>
      </c>
      <c r="P3">
        <v>1</v>
      </c>
      <c r="Q3">
        <v>0</v>
      </c>
    </row>
    <row r="4" spans="1:17" x14ac:dyDescent="0.25">
      <c r="A4">
        <v>0</v>
      </c>
      <c r="B4">
        <v>0</v>
      </c>
      <c r="C4">
        <v>1</v>
      </c>
      <c r="D4">
        <v>1</v>
      </c>
      <c r="E4">
        <v>0</v>
      </c>
      <c r="F4">
        <v>0</v>
      </c>
      <c r="G4">
        <v>0</v>
      </c>
      <c r="H4">
        <v>1</v>
      </c>
      <c r="I4">
        <v>1</v>
      </c>
      <c r="J4">
        <v>0</v>
      </c>
      <c r="K4">
        <v>1</v>
      </c>
      <c r="L4">
        <v>0</v>
      </c>
      <c r="M4">
        <v>1</v>
      </c>
      <c r="N4">
        <v>0</v>
      </c>
      <c r="O4">
        <v>1</v>
      </c>
      <c r="P4">
        <v>1</v>
      </c>
      <c r="Q4">
        <v>0</v>
      </c>
    </row>
    <row r="5" spans="1:17" x14ac:dyDescent="0.25">
      <c r="A5">
        <v>0</v>
      </c>
      <c r="B5">
        <v>1</v>
      </c>
      <c r="C5">
        <v>0</v>
      </c>
      <c r="D5">
        <v>1</v>
      </c>
      <c r="E5">
        <v>0</v>
      </c>
      <c r="F5">
        <v>0</v>
      </c>
      <c r="G5">
        <v>1</v>
      </c>
      <c r="H5">
        <v>1</v>
      </c>
      <c r="I5">
        <v>0</v>
      </c>
      <c r="J5">
        <v>1</v>
      </c>
      <c r="K5">
        <v>0</v>
      </c>
      <c r="L5">
        <v>0</v>
      </c>
      <c r="M5">
        <v>1</v>
      </c>
      <c r="N5">
        <v>1</v>
      </c>
      <c r="O5">
        <v>0</v>
      </c>
      <c r="P5">
        <v>1</v>
      </c>
      <c r="Q5">
        <v>0</v>
      </c>
    </row>
    <row r="6" spans="1:17" x14ac:dyDescent="0.25">
      <c r="A6">
        <v>1</v>
      </c>
      <c r="B6">
        <v>0</v>
      </c>
      <c r="C6">
        <v>1</v>
      </c>
      <c r="D6">
        <v>0</v>
      </c>
      <c r="E6">
        <v>1</v>
      </c>
      <c r="F6">
        <v>1</v>
      </c>
      <c r="G6">
        <v>1</v>
      </c>
      <c r="H6">
        <v>0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48CAE-1A6D-46FA-8A34-5A03FAA273D5}">
  <sheetPr codeName="Hoja1"/>
  <dimension ref="A1:AH102"/>
  <sheetViews>
    <sheetView tabSelected="1" topLeftCell="J1" zoomScale="70" zoomScaleNormal="70" workbookViewId="0">
      <selection activeCell="AD56" sqref="AD56"/>
    </sheetView>
  </sheetViews>
  <sheetFormatPr baseColWidth="10" defaultRowHeight="15" x14ac:dyDescent="0.25"/>
  <cols>
    <col min="1" max="5" width="12" customWidth="1"/>
    <col min="6" max="6" width="11.5703125" customWidth="1"/>
    <col min="8" max="8" width="11.85546875" bestFit="1" customWidth="1"/>
    <col min="15" max="20" width="12" customWidth="1"/>
    <col min="21" max="21" width="14.28515625" customWidth="1"/>
    <col min="22" max="24" width="14.7109375" customWidth="1"/>
    <col min="26" max="26" width="14.28515625" customWidth="1"/>
    <col min="27" max="29" width="14.7109375" customWidth="1"/>
  </cols>
  <sheetData>
    <row r="1" spans="1:23" x14ac:dyDescent="0.25">
      <c r="A1" t="s">
        <v>5</v>
      </c>
      <c r="B1" t="s">
        <v>6</v>
      </c>
      <c r="C1" t="s">
        <v>7</v>
      </c>
      <c r="D1" t="s">
        <v>8</v>
      </c>
      <c r="E1" t="s">
        <v>9</v>
      </c>
      <c r="G1" s="38" t="s">
        <v>33</v>
      </c>
      <c r="H1" s="38"/>
      <c r="I1" s="5"/>
      <c r="J1" s="5"/>
      <c r="K1" s="5"/>
      <c r="M1" t="s">
        <v>36</v>
      </c>
      <c r="O1" t="s">
        <v>36</v>
      </c>
      <c r="Q1" t="s">
        <v>36</v>
      </c>
      <c r="S1" t="s">
        <v>39</v>
      </c>
    </row>
    <row r="2" spans="1:23" x14ac:dyDescent="0.25">
      <c r="A2">
        <v>0</v>
      </c>
      <c r="B2">
        <v>0</v>
      </c>
      <c r="C2">
        <v>0</v>
      </c>
      <c r="D2">
        <v>0</v>
      </c>
      <c r="E2" s="26">
        <v>1</v>
      </c>
      <c r="G2" s="39">
        <v>0</v>
      </c>
      <c r="H2" s="39"/>
      <c r="I2" s="1"/>
      <c r="J2" s="1"/>
      <c r="K2" s="1"/>
      <c r="M2" s="26">
        <v>1</v>
      </c>
      <c r="O2" s="26">
        <v>1</v>
      </c>
      <c r="Q2" s="26">
        <v>0</v>
      </c>
      <c r="S2" s="26">
        <v>1</v>
      </c>
    </row>
    <row r="3" spans="1:23" x14ac:dyDescent="0.25">
      <c r="A3">
        <v>0</v>
      </c>
      <c r="B3">
        <v>0</v>
      </c>
      <c r="C3">
        <v>0</v>
      </c>
      <c r="D3">
        <v>1</v>
      </c>
      <c r="E3" s="27">
        <v>1</v>
      </c>
      <c r="M3" s="27">
        <v>1</v>
      </c>
      <c r="O3" s="27">
        <v>1</v>
      </c>
      <c r="Q3" s="27">
        <v>1</v>
      </c>
      <c r="S3" s="26">
        <v>0</v>
      </c>
    </row>
    <row r="4" spans="1:23" x14ac:dyDescent="0.25">
      <c r="A4">
        <v>0</v>
      </c>
      <c r="B4">
        <v>0</v>
      </c>
      <c r="C4">
        <v>1</v>
      </c>
      <c r="D4" s="3">
        <v>0</v>
      </c>
      <c r="E4" s="26">
        <v>1</v>
      </c>
      <c r="J4" s="3"/>
      <c r="M4" s="26">
        <v>1</v>
      </c>
      <c r="O4" s="26">
        <v>1</v>
      </c>
      <c r="Q4" s="26">
        <v>1</v>
      </c>
      <c r="S4" s="26">
        <v>1</v>
      </c>
      <c r="W4" s="3"/>
    </row>
    <row r="5" spans="1:23" x14ac:dyDescent="0.25">
      <c r="A5">
        <v>0</v>
      </c>
      <c r="B5">
        <v>0</v>
      </c>
      <c r="C5">
        <v>1</v>
      </c>
      <c r="D5">
        <v>1</v>
      </c>
      <c r="E5" s="27">
        <v>1</v>
      </c>
      <c r="M5" s="27">
        <v>1</v>
      </c>
      <c r="O5" s="27">
        <v>1</v>
      </c>
      <c r="Q5" s="27">
        <v>1</v>
      </c>
      <c r="S5" s="26">
        <v>0</v>
      </c>
    </row>
    <row r="6" spans="1:23" x14ac:dyDescent="0.25">
      <c r="A6">
        <v>0</v>
      </c>
      <c r="B6">
        <v>1</v>
      </c>
      <c r="C6">
        <v>0</v>
      </c>
      <c r="D6">
        <v>0</v>
      </c>
      <c r="E6" s="26">
        <v>1</v>
      </c>
      <c r="M6" s="26">
        <v>1</v>
      </c>
      <c r="O6" s="26">
        <v>1</v>
      </c>
      <c r="Q6" s="26">
        <v>0</v>
      </c>
      <c r="S6" s="26">
        <v>1</v>
      </c>
    </row>
    <row r="7" spans="1:23" x14ac:dyDescent="0.25">
      <c r="A7">
        <v>0</v>
      </c>
      <c r="B7">
        <v>1</v>
      </c>
      <c r="C7">
        <v>0</v>
      </c>
      <c r="D7">
        <v>1</v>
      </c>
      <c r="E7" s="27">
        <v>1</v>
      </c>
      <c r="M7" s="27">
        <v>1</v>
      </c>
      <c r="O7" s="27">
        <v>1</v>
      </c>
      <c r="Q7" s="27">
        <v>0</v>
      </c>
      <c r="S7" s="26">
        <v>1</v>
      </c>
    </row>
    <row r="8" spans="1:23" x14ac:dyDescent="0.25">
      <c r="A8">
        <v>0</v>
      </c>
      <c r="B8">
        <v>1</v>
      </c>
      <c r="C8">
        <v>1</v>
      </c>
      <c r="D8">
        <v>0</v>
      </c>
      <c r="E8" s="26">
        <v>1</v>
      </c>
      <c r="M8" s="26">
        <v>1</v>
      </c>
      <c r="O8" s="26">
        <v>1</v>
      </c>
      <c r="Q8" s="26">
        <v>1</v>
      </c>
      <c r="S8" s="26">
        <v>1</v>
      </c>
    </row>
    <row r="9" spans="1:23" x14ac:dyDescent="0.25">
      <c r="A9">
        <v>0</v>
      </c>
      <c r="B9">
        <v>1</v>
      </c>
      <c r="C9">
        <v>1</v>
      </c>
      <c r="D9">
        <v>1</v>
      </c>
      <c r="E9" s="27">
        <v>0</v>
      </c>
      <c r="M9" s="27">
        <v>0</v>
      </c>
      <c r="O9" s="27">
        <v>0</v>
      </c>
      <c r="Q9" s="27">
        <v>0</v>
      </c>
      <c r="S9" s="26">
        <v>0</v>
      </c>
    </row>
    <row r="10" spans="1:23" x14ac:dyDescent="0.25">
      <c r="A10">
        <v>1</v>
      </c>
      <c r="B10">
        <v>0</v>
      </c>
      <c r="C10">
        <v>0</v>
      </c>
      <c r="D10">
        <v>0</v>
      </c>
      <c r="E10" s="26">
        <v>1</v>
      </c>
      <c r="M10" s="26">
        <v>1</v>
      </c>
      <c r="O10" s="26">
        <v>1</v>
      </c>
      <c r="Q10" s="26">
        <v>1</v>
      </c>
      <c r="S10" s="26">
        <v>1</v>
      </c>
    </row>
    <row r="11" spans="1:23" x14ac:dyDescent="0.25">
      <c r="A11">
        <v>1</v>
      </c>
      <c r="B11">
        <v>0</v>
      </c>
      <c r="C11">
        <v>0</v>
      </c>
      <c r="D11">
        <v>1</v>
      </c>
      <c r="E11" s="27">
        <v>0</v>
      </c>
      <c r="M11" s="27">
        <v>1</v>
      </c>
      <c r="O11" s="27">
        <v>0</v>
      </c>
      <c r="Q11" s="27">
        <v>0</v>
      </c>
      <c r="S11" s="26">
        <v>1</v>
      </c>
    </row>
    <row r="12" spans="1:23" x14ac:dyDescent="0.25">
      <c r="A12">
        <v>1</v>
      </c>
      <c r="B12">
        <v>0</v>
      </c>
      <c r="C12">
        <v>1</v>
      </c>
      <c r="D12">
        <v>0</v>
      </c>
      <c r="E12" s="26">
        <v>0</v>
      </c>
      <c r="M12" s="26">
        <v>0</v>
      </c>
      <c r="O12" s="26">
        <v>0</v>
      </c>
      <c r="Q12" s="26">
        <v>0</v>
      </c>
      <c r="S12" s="26">
        <v>1</v>
      </c>
    </row>
    <row r="13" spans="1:23" x14ac:dyDescent="0.25">
      <c r="A13">
        <v>1</v>
      </c>
      <c r="B13">
        <v>0</v>
      </c>
      <c r="C13">
        <v>1</v>
      </c>
      <c r="D13">
        <v>1</v>
      </c>
      <c r="E13" s="27">
        <v>1</v>
      </c>
      <c r="M13" s="27">
        <v>1</v>
      </c>
      <c r="O13" s="27">
        <v>1</v>
      </c>
      <c r="Q13" s="27">
        <v>1</v>
      </c>
      <c r="S13" s="26">
        <v>1</v>
      </c>
    </row>
    <row r="14" spans="1:23" x14ac:dyDescent="0.25">
      <c r="A14">
        <v>1</v>
      </c>
      <c r="B14">
        <v>1</v>
      </c>
      <c r="C14">
        <v>0</v>
      </c>
      <c r="D14">
        <v>0</v>
      </c>
      <c r="E14" s="26">
        <v>1</v>
      </c>
      <c r="M14" s="26">
        <v>1</v>
      </c>
      <c r="O14" s="26">
        <v>1</v>
      </c>
      <c r="Q14" s="26">
        <v>0</v>
      </c>
      <c r="S14" s="26">
        <v>1</v>
      </c>
    </row>
    <row r="15" spans="1:23" x14ac:dyDescent="0.25">
      <c r="A15">
        <v>1</v>
      </c>
      <c r="B15">
        <v>1</v>
      </c>
      <c r="C15">
        <v>0</v>
      </c>
      <c r="D15">
        <v>1</v>
      </c>
      <c r="E15" s="27">
        <v>1</v>
      </c>
      <c r="M15" s="27">
        <v>1</v>
      </c>
      <c r="O15" s="27">
        <v>1</v>
      </c>
      <c r="Q15" s="27">
        <v>0</v>
      </c>
      <c r="S15" s="26">
        <v>1</v>
      </c>
    </row>
    <row r="16" spans="1:23" x14ac:dyDescent="0.25">
      <c r="A16">
        <v>1</v>
      </c>
      <c r="B16">
        <v>1</v>
      </c>
      <c r="C16">
        <v>1</v>
      </c>
      <c r="D16">
        <v>0</v>
      </c>
      <c r="E16" s="26">
        <v>1</v>
      </c>
      <c r="M16" s="26">
        <v>1</v>
      </c>
      <c r="O16" s="26">
        <v>1</v>
      </c>
      <c r="Q16" s="26">
        <v>1</v>
      </c>
      <c r="S16" s="26">
        <v>1</v>
      </c>
    </row>
    <row r="17" spans="1:19" x14ac:dyDescent="0.25">
      <c r="A17">
        <v>1</v>
      </c>
      <c r="B17">
        <v>1</v>
      </c>
      <c r="C17">
        <v>1</v>
      </c>
      <c r="D17">
        <v>1</v>
      </c>
      <c r="E17" s="27">
        <v>0</v>
      </c>
      <c r="G17" s="6"/>
      <c r="H17" s="6"/>
      <c r="I17" s="6"/>
      <c r="J17" s="6"/>
      <c r="K17" s="6"/>
      <c r="M17" s="27">
        <v>1</v>
      </c>
      <c r="O17" s="27">
        <v>0</v>
      </c>
      <c r="Q17" s="27">
        <v>0</v>
      </c>
      <c r="S17" s="26">
        <v>1</v>
      </c>
    </row>
    <row r="21" spans="1:19" x14ac:dyDescent="0.25">
      <c r="A21" s="5" t="s">
        <v>5</v>
      </c>
      <c r="B21" s="5" t="s">
        <v>6</v>
      </c>
      <c r="C21" s="5" t="s">
        <v>7</v>
      </c>
      <c r="D21" s="5" t="s">
        <v>8</v>
      </c>
      <c r="E21" s="5" t="s">
        <v>10</v>
      </c>
      <c r="F21" s="5" t="s">
        <v>11</v>
      </c>
    </row>
    <row r="22" spans="1:19" x14ac:dyDescent="0.25">
      <c r="A22" s="1">
        <v>0</v>
      </c>
      <c r="B22" s="1">
        <v>0</v>
      </c>
      <c r="C22" s="1">
        <v>0</v>
      </c>
      <c r="D22" s="1">
        <v>0</v>
      </c>
      <c r="E22" s="1">
        <f t="shared" ref="E22:E37" si="0">$E2</f>
        <v>1</v>
      </c>
      <c r="F22" s="7">
        <f>Tabla35[[#This Row],[A]] + Tabla35[[#This Row],[B]] + Tabla35[[#This Row],[C]] + Tabla35[[#This Row],[D]]</f>
        <v>0</v>
      </c>
    </row>
    <row r="23" spans="1:19" hidden="1" x14ac:dyDescent="0.25">
      <c r="A23" s="2">
        <v>0</v>
      </c>
      <c r="B23" s="2">
        <v>0</v>
      </c>
      <c r="C23" s="2">
        <v>0</v>
      </c>
      <c r="D23" s="2">
        <v>1</v>
      </c>
      <c r="E23" s="2">
        <f t="shared" si="0"/>
        <v>1</v>
      </c>
      <c r="F23" s="7">
        <f>Tabla35[[#This Row],[A]] + Tabla35[[#This Row],[B]] + Tabla35[[#This Row],[C]] + Tabla35[[#This Row],[D]]</f>
        <v>1</v>
      </c>
    </row>
    <row r="24" spans="1:19" x14ac:dyDescent="0.25">
      <c r="A24" s="1">
        <v>0</v>
      </c>
      <c r="B24" s="1">
        <v>0</v>
      </c>
      <c r="C24" s="1">
        <v>1</v>
      </c>
      <c r="D24" s="4">
        <v>0</v>
      </c>
      <c r="E24" s="1">
        <f t="shared" si="0"/>
        <v>1</v>
      </c>
      <c r="F24" s="7">
        <f>Tabla35[[#This Row],[A]] + Tabla35[[#This Row],[B]] + Tabla35[[#This Row],[C]] + Tabla35[[#This Row],[D]]</f>
        <v>1</v>
      </c>
    </row>
    <row r="25" spans="1:19" hidden="1" x14ac:dyDescent="0.25">
      <c r="A25" s="2">
        <v>0</v>
      </c>
      <c r="B25" s="2">
        <v>0</v>
      </c>
      <c r="C25" s="2">
        <v>1</v>
      </c>
      <c r="D25" s="2">
        <v>1</v>
      </c>
      <c r="E25" s="2">
        <f t="shared" si="0"/>
        <v>1</v>
      </c>
      <c r="F25" s="7">
        <f>Tabla35[[#This Row],[A]] + Tabla35[[#This Row],[B]] + Tabla35[[#This Row],[C]] + Tabla35[[#This Row],[D]]</f>
        <v>2</v>
      </c>
    </row>
    <row r="26" spans="1:19" x14ac:dyDescent="0.25">
      <c r="A26" s="1">
        <v>0</v>
      </c>
      <c r="B26" s="1">
        <v>1</v>
      </c>
      <c r="C26" s="1">
        <v>0</v>
      </c>
      <c r="D26" s="1">
        <v>0</v>
      </c>
      <c r="E26" s="1">
        <f t="shared" si="0"/>
        <v>1</v>
      </c>
      <c r="F26" s="7">
        <f>Tabla35[[#This Row],[A]] + Tabla35[[#This Row],[B]] + Tabla35[[#This Row],[C]] + Tabla35[[#This Row],[D]]</f>
        <v>1</v>
      </c>
    </row>
    <row r="27" spans="1:19" x14ac:dyDescent="0.25">
      <c r="A27" s="1">
        <v>0</v>
      </c>
      <c r="B27" s="1">
        <v>1</v>
      </c>
      <c r="C27" s="1">
        <v>0</v>
      </c>
      <c r="D27" s="1">
        <v>1</v>
      </c>
      <c r="E27" s="1">
        <f t="shared" si="0"/>
        <v>1</v>
      </c>
      <c r="F27" s="7">
        <f>Tabla35[[#This Row],[A]] + Tabla35[[#This Row],[B]] + Tabla35[[#This Row],[C]] + Tabla35[[#This Row],[D]]</f>
        <v>2</v>
      </c>
    </row>
    <row r="28" spans="1:19" x14ac:dyDescent="0.25">
      <c r="A28" s="2">
        <v>0</v>
      </c>
      <c r="B28" s="2">
        <v>1</v>
      </c>
      <c r="C28" s="2">
        <v>1</v>
      </c>
      <c r="D28" s="2">
        <v>0</v>
      </c>
      <c r="E28" s="2">
        <f t="shared" si="0"/>
        <v>1</v>
      </c>
      <c r="F28" s="7">
        <f>Tabla35[[#This Row],[A]] + Tabla35[[#This Row],[B]] + Tabla35[[#This Row],[C]] + Tabla35[[#This Row],[D]]</f>
        <v>2</v>
      </c>
    </row>
    <row r="29" spans="1:19" hidden="1" x14ac:dyDescent="0.25">
      <c r="A29" s="2">
        <v>0</v>
      </c>
      <c r="B29" s="2">
        <v>1</v>
      </c>
      <c r="C29" s="2">
        <v>1</v>
      </c>
      <c r="D29" s="2">
        <v>1</v>
      </c>
      <c r="E29" s="2">
        <f t="shared" si="0"/>
        <v>0</v>
      </c>
      <c r="F29" s="7">
        <f>Tabla35[[#This Row],[A]] + Tabla35[[#This Row],[B]] + Tabla35[[#This Row],[C]] + Tabla35[[#This Row],[D]]</f>
        <v>3</v>
      </c>
    </row>
    <row r="30" spans="1:19" x14ac:dyDescent="0.25">
      <c r="A30" s="1">
        <v>1</v>
      </c>
      <c r="B30" s="1">
        <v>0</v>
      </c>
      <c r="C30" s="1">
        <v>0</v>
      </c>
      <c r="D30" s="1">
        <v>0</v>
      </c>
      <c r="E30" s="1">
        <f t="shared" si="0"/>
        <v>1</v>
      </c>
      <c r="F30" s="7">
        <f>Tabla35[[#This Row],[A]] + Tabla35[[#This Row],[B]] + Tabla35[[#This Row],[C]] + Tabla35[[#This Row],[D]]</f>
        <v>1</v>
      </c>
    </row>
    <row r="31" spans="1:19" x14ac:dyDescent="0.25">
      <c r="A31" s="2">
        <v>1</v>
      </c>
      <c r="B31" s="2">
        <v>0</v>
      </c>
      <c r="C31" s="2">
        <v>0</v>
      </c>
      <c r="D31" s="2">
        <v>1</v>
      </c>
      <c r="E31" s="2">
        <f t="shared" si="0"/>
        <v>0</v>
      </c>
      <c r="F31" s="7">
        <f>Tabla35[[#This Row],[A]] + Tabla35[[#This Row],[B]] + Tabla35[[#This Row],[C]] + Tabla35[[#This Row],[D]]</f>
        <v>2</v>
      </c>
    </row>
    <row r="32" spans="1:19" x14ac:dyDescent="0.25">
      <c r="A32" s="1">
        <v>1</v>
      </c>
      <c r="B32" s="1">
        <v>0</v>
      </c>
      <c r="C32" s="1">
        <v>1</v>
      </c>
      <c r="D32" s="1">
        <v>0</v>
      </c>
      <c r="E32" s="1">
        <f t="shared" si="0"/>
        <v>0</v>
      </c>
      <c r="F32" s="7">
        <f>Tabla35[[#This Row],[A]] + Tabla35[[#This Row],[B]] + Tabla35[[#This Row],[C]] + Tabla35[[#This Row],[D]]</f>
        <v>2</v>
      </c>
    </row>
    <row r="33" spans="1:28" x14ac:dyDescent="0.25">
      <c r="A33" s="1">
        <v>1</v>
      </c>
      <c r="B33" s="1">
        <v>0</v>
      </c>
      <c r="C33" s="1">
        <v>1</v>
      </c>
      <c r="D33" s="1">
        <v>1</v>
      </c>
      <c r="E33" s="1">
        <f t="shared" si="0"/>
        <v>1</v>
      </c>
      <c r="F33" s="7">
        <f>Tabla35[[#This Row],[A]] + Tabla35[[#This Row],[B]] + Tabla35[[#This Row],[C]] + Tabla35[[#This Row],[D]]</f>
        <v>3</v>
      </c>
    </row>
    <row r="34" spans="1:28" x14ac:dyDescent="0.25">
      <c r="A34" s="2">
        <v>1</v>
      </c>
      <c r="B34" s="2">
        <v>1</v>
      </c>
      <c r="C34" s="2">
        <v>0</v>
      </c>
      <c r="D34" s="2">
        <v>0</v>
      </c>
      <c r="E34" s="2">
        <f t="shared" si="0"/>
        <v>1</v>
      </c>
      <c r="F34" s="7">
        <f>Tabla35[[#This Row],[A]] + Tabla35[[#This Row],[B]] + Tabla35[[#This Row],[C]] + Tabla35[[#This Row],[D]]</f>
        <v>2</v>
      </c>
    </row>
    <row r="35" spans="1:28" x14ac:dyDescent="0.25">
      <c r="A35" s="2">
        <v>1</v>
      </c>
      <c r="B35" s="2">
        <v>1</v>
      </c>
      <c r="C35" s="2">
        <v>0</v>
      </c>
      <c r="D35" s="2">
        <v>1</v>
      </c>
      <c r="E35" s="2">
        <f t="shared" si="0"/>
        <v>1</v>
      </c>
      <c r="F35" s="7">
        <f>Tabla35[[#This Row],[A]] + Tabla35[[#This Row],[B]] + Tabla35[[#This Row],[C]] + Tabla35[[#This Row],[D]]</f>
        <v>3</v>
      </c>
    </row>
    <row r="36" spans="1:28" x14ac:dyDescent="0.25">
      <c r="A36" s="1">
        <v>1</v>
      </c>
      <c r="B36" s="1">
        <v>1</v>
      </c>
      <c r="C36" s="1">
        <v>1</v>
      </c>
      <c r="D36" s="1">
        <v>0</v>
      </c>
      <c r="E36" s="1">
        <f t="shared" si="0"/>
        <v>1</v>
      </c>
      <c r="F36" s="7">
        <f>Tabla35[[#This Row],[A]] + Tabla35[[#This Row],[B]] + Tabla35[[#This Row],[C]] + Tabla35[[#This Row],[D]]</f>
        <v>3</v>
      </c>
    </row>
    <row r="37" spans="1:28" x14ac:dyDescent="0.25">
      <c r="A37" s="6">
        <v>1</v>
      </c>
      <c r="B37" s="6">
        <v>1</v>
      </c>
      <c r="C37" s="6">
        <v>1</v>
      </c>
      <c r="D37" s="6">
        <v>1</v>
      </c>
      <c r="E37" s="2">
        <f t="shared" si="0"/>
        <v>0</v>
      </c>
      <c r="F37" s="7">
        <f>Tabla35[[#This Row],[A]] + Tabla35[[#This Row],[B]] + Tabla35[[#This Row],[C]] + Tabla35[[#This Row],[D]]</f>
        <v>4</v>
      </c>
    </row>
    <row r="39" spans="1:28" x14ac:dyDescent="0.25">
      <c r="A39" s="12" t="s">
        <v>5</v>
      </c>
      <c r="B39" s="5" t="s">
        <v>6</v>
      </c>
      <c r="C39" s="5" t="s">
        <v>7</v>
      </c>
      <c r="D39" s="5" t="s">
        <v>8</v>
      </c>
      <c r="E39" s="5" t="s">
        <v>12</v>
      </c>
      <c r="F39" s="5" t="s">
        <v>11</v>
      </c>
    </row>
    <row r="40" spans="1:28" x14ac:dyDescent="0.25">
      <c r="A40" s="1">
        <f t="shared" ref="A40:A55" si="1">$A22</f>
        <v>0</v>
      </c>
      <c r="B40" s="1">
        <f t="shared" ref="B40:B55" si="2">$B22</f>
        <v>0</v>
      </c>
      <c r="C40" s="1">
        <f t="shared" ref="C40:C55" si="3">$C22</f>
        <v>0</v>
      </c>
      <c r="D40" s="1">
        <f t="shared" ref="D40:D55" si="4">$D22</f>
        <v>0</v>
      </c>
      <c r="E40" s="1">
        <f t="shared" ref="E40:E55" si="5">$E22</f>
        <v>1</v>
      </c>
      <c r="F40" s="9">
        <f t="shared" ref="F40:F55" si="6">$F22</f>
        <v>0</v>
      </c>
    </row>
    <row r="41" spans="1:28" x14ac:dyDescent="0.25">
      <c r="A41" s="1">
        <f t="shared" si="1"/>
        <v>0</v>
      </c>
      <c r="B41" s="13">
        <f t="shared" si="2"/>
        <v>0</v>
      </c>
      <c r="C41" s="13">
        <f t="shared" si="3"/>
        <v>0</v>
      </c>
      <c r="D41" s="13">
        <f t="shared" si="4"/>
        <v>1</v>
      </c>
      <c r="E41" s="13">
        <f t="shared" si="5"/>
        <v>1</v>
      </c>
      <c r="F41" s="14">
        <f t="shared" si="6"/>
        <v>1</v>
      </c>
    </row>
    <row r="42" spans="1:28" x14ac:dyDescent="0.25">
      <c r="A42" s="1">
        <f t="shared" si="1"/>
        <v>0</v>
      </c>
      <c r="B42" s="13">
        <f t="shared" si="2"/>
        <v>0</v>
      </c>
      <c r="C42" s="13">
        <f t="shared" si="3"/>
        <v>1</v>
      </c>
      <c r="D42" s="13">
        <f t="shared" si="4"/>
        <v>0</v>
      </c>
      <c r="E42" s="13">
        <f t="shared" si="5"/>
        <v>1</v>
      </c>
      <c r="F42" s="16">
        <f t="shared" si="6"/>
        <v>1</v>
      </c>
    </row>
    <row r="43" spans="1:28" x14ac:dyDescent="0.25">
      <c r="A43" s="1">
        <f t="shared" si="1"/>
        <v>0</v>
      </c>
      <c r="B43" s="1">
        <f t="shared" si="2"/>
        <v>0</v>
      </c>
      <c r="C43" s="1">
        <f t="shared" si="3"/>
        <v>1</v>
      </c>
      <c r="D43" s="4">
        <f t="shared" si="4"/>
        <v>1</v>
      </c>
      <c r="E43" s="1">
        <f t="shared" si="5"/>
        <v>1</v>
      </c>
      <c r="F43" s="9">
        <f t="shared" si="6"/>
        <v>2</v>
      </c>
    </row>
    <row r="44" spans="1:28" x14ac:dyDescent="0.25">
      <c r="A44" s="1">
        <f t="shared" si="1"/>
        <v>0</v>
      </c>
      <c r="B44" s="13">
        <f t="shared" si="2"/>
        <v>1</v>
      </c>
      <c r="C44" s="13">
        <f t="shared" si="3"/>
        <v>0</v>
      </c>
      <c r="D44" s="13">
        <f t="shared" si="4"/>
        <v>0</v>
      </c>
      <c r="E44" s="13">
        <f t="shared" si="5"/>
        <v>1</v>
      </c>
      <c r="F44" s="14">
        <f t="shared" si="6"/>
        <v>1</v>
      </c>
      <c r="AB44" t="s">
        <v>37</v>
      </c>
    </row>
    <row r="45" spans="1:28" x14ac:dyDescent="0.25">
      <c r="A45" s="1">
        <f t="shared" si="1"/>
        <v>0</v>
      </c>
      <c r="B45" s="13">
        <f t="shared" si="2"/>
        <v>1</v>
      </c>
      <c r="C45" s="15">
        <f t="shared" si="3"/>
        <v>0</v>
      </c>
      <c r="D45" s="15">
        <f t="shared" si="4"/>
        <v>1</v>
      </c>
      <c r="E45" s="15">
        <f t="shared" si="5"/>
        <v>1</v>
      </c>
      <c r="F45" s="14">
        <f t="shared" si="6"/>
        <v>2</v>
      </c>
    </row>
    <row r="46" spans="1:28" x14ac:dyDescent="0.25">
      <c r="A46" s="1">
        <f t="shared" si="1"/>
        <v>0</v>
      </c>
      <c r="B46" s="13">
        <f t="shared" si="2"/>
        <v>1</v>
      </c>
      <c r="C46" s="13">
        <f t="shared" si="3"/>
        <v>1</v>
      </c>
      <c r="D46" s="13">
        <f t="shared" si="4"/>
        <v>0</v>
      </c>
      <c r="E46" s="13">
        <f t="shared" si="5"/>
        <v>1</v>
      </c>
      <c r="F46" s="14">
        <f t="shared" si="6"/>
        <v>2</v>
      </c>
    </row>
    <row r="47" spans="1:28" x14ac:dyDescent="0.25">
      <c r="A47" s="1">
        <f t="shared" si="1"/>
        <v>0</v>
      </c>
      <c r="B47" s="1">
        <f t="shared" si="2"/>
        <v>1</v>
      </c>
      <c r="C47" s="1">
        <f t="shared" si="3"/>
        <v>1</v>
      </c>
      <c r="D47" s="1">
        <f t="shared" si="4"/>
        <v>1</v>
      </c>
      <c r="E47" s="1">
        <f t="shared" si="5"/>
        <v>0</v>
      </c>
      <c r="F47" s="9">
        <f t="shared" si="6"/>
        <v>3</v>
      </c>
    </row>
    <row r="48" spans="1:28" x14ac:dyDescent="0.25">
      <c r="A48" s="1">
        <f t="shared" si="1"/>
        <v>1</v>
      </c>
      <c r="B48" s="13">
        <f t="shared" si="2"/>
        <v>0</v>
      </c>
      <c r="C48" s="15">
        <f t="shared" si="3"/>
        <v>0</v>
      </c>
      <c r="D48" s="15">
        <f t="shared" si="4"/>
        <v>0</v>
      </c>
      <c r="E48" s="15">
        <f t="shared" si="5"/>
        <v>1</v>
      </c>
      <c r="F48" s="14">
        <f t="shared" si="6"/>
        <v>1</v>
      </c>
      <c r="V48" s="37" t="s">
        <v>38</v>
      </c>
      <c r="W48" s="37"/>
      <c r="X48" s="37"/>
      <c r="Y48" s="37"/>
    </row>
    <row r="49" spans="1:34" x14ac:dyDescent="0.25">
      <c r="A49" s="1">
        <f t="shared" si="1"/>
        <v>1</v>
      </c>
      <c r="B49" s="1">
        <f t="shared" si="2"/>
        <v>0</v>
      </c>
      <c r="C49" s="2">
        <f t="shared" si="3"/>
        <v>0</v>
      </c>
      <c r="D49" s="2">
        <f t="shared" si="4"/>
        <v>1</v>
      </c>
      <c r="E49" s="2">
        <f t="shared" si="5"/>
        <v>0</v>
      </c>
      <c r="F49" s="8">
        <f t="shared" si="6"/>
        <v>2</v>
      </c>
      <c r="AD49" s="37" t="s">
        <v>45</v>
      </c>
      <c r="AE49" s="37"/>
      <c r="AF49" s="37"/>
      <c r="AG49" s="37"/>
      <c r="AH49" s="37"/>
    </row>
    <row r="50" spans="1:34" x14ac:dyDescent="0.25">
      <c r="A50" s="1">
        <f t="shared" si="1"/>
        <v>1</v>
      </c>
      <c r="B50" s="13">
        <f t="shared" si="2"/>
        <v>0</v>
      </c>
      <c r="C50" s="17">
        <f t="shared" si="3"/>
        <v>1</v>
      </c>
      <c r="D50" s="17">
        <f t="shared" si="4"/>
        <v>0</v>
      </c>
      <c r="E50" s="17">
        <f t="shared" si="5"/>
        <v>0</v>
      </c>
      <c r="F50" s="14">
        <f t="shared" si="6"/>
        <v>2</v>
      </c>
    </row>
    <row r="51" spans="1:34" x14ac:dyDescent="0.25">
      <c r="A51" s="1">
        <f t="shared" si="1"/>
        <v>1</v>
      </c>
      <c r="B51" s="13">
        <f t="shared" si="2"/>
        <v>0</v>
      </c>
      <c r="C51" s="17">
        <f t="shared" si="3"/>
        <v>1</v>
      </c>
      <c r="D51" s="17">
        <f t="shared" si="4"/>
        <v>1</v>
      </c>
      <c r="E51" s="17">
        <f t="shared" si="5"/>
        <v>1</v>
      </c>
      <c r="F51" s="14">
        <f t="shared" si="6"/>
        <v>3</v>
      </c>
    </row>
    <row r="52" spans="1:34" x14ac:dyDescent="0.25">
      <c r="A52" s="1">
        <f t="shared" si="1"/>
        <v>1</v>
      </c>
      <c r="B52" s="13">
        <f t="shared" si="2"/>
        <v>1</v>
      </c>
      <c r="C52" s="22">
        <f t="shared" si="3"/>
        <v>0</v>
      </c>
      <c r="D52" s="22">
        <f t="shared" si="4"/>
        <v>0</v>
      </c>
      <c r="E52" s="22">
        <f t="shared" si="5"/>
        <v>1</v>
      </c>
      <c r="F52" s="18">
        <f t="shared" si="6"/>
        <v>2</v>
      </c>
    </row>
    <row r="53" spans="1:34" x14ac:dyDescent="0.25">
      <c r="A53" s="1">
        <f t="shared" si="1"/>
        <v>1</v>
      </c>
      <c r="B53" s="13">
        <f t="shared" si="2"/>
        <v>1</v>
      </c>
      <c r="C53" s="21">
        <f t="shared" si="3"/>
        <v>0</v>
      </c>
      <c r="D53" s="21">
        <f t="shared" si="4"/>
        <v>1</v>
      </c>
      <c r="E53" s="21">
        <f t="shared" si="5"/>
        <v>1</v>
      </c>
      <c r="F53" s="18">
        <f t="shared" si="6"/>
        <v>3</v>
      </c>
    </row>
    <row r="54" spans="1:34" x14ac:dyDescent="0.25">
      <c r="A54" s="1">
        <f t="shared" si="1"/>
        <v>1</v>
      </c>
      <c r="B54" s="13">
        <f t="shared" si="2"/>
        <v>1</v>
      </c>
      <c r="C54" s="20">
        <f t="shared" si="3"/>
        <v>1</v>
      </c>
      <c r="D54" s="20">
        <f t="shared" si="4"/>
        <v>0</v>
      </c>
      <c r="E54" s="20">
        <f t="shared" si="5"/>
        <v>1</v>
      </c>
      <c r="F54" s="21">
        <f t="shared" si="6"/>
        <v>3</v>
      </c>
    </row>
    <row r="55" spans="1:34" x14ac:dyDescent="0.25">
      <c r="A55" s="1">
        <f t="shared" si="1"/>
        <v>1</v>
      </c>
      <c r="B55" s="13">
        <f t="shared" si="2"/>
        <v>1</v>
      </c>
      <c r="C55" s="21">
        <f t="shared" si="3"/>
        <v>1</v>
      </c>
      <c r="D55" s="21">
        <f t="shared" si="4"/>
        <v>1</v>
      </c>
      <c r="E55" s="21">
        <f t="shared" si="5"/>
        <v>0</v>
      </c>
      <c r="F55" s="21">
        <f t="shared" si="6"/>
        <v>4</v>
      </c>
    </row>
    <row r="56" spans="1:34" x14ac:dyDescent="0.25">
      <c r="A56" s="1"/>
      <c r="B56" s="13"/>
      <c r="C56" s="19"/>
      <c r="D56" s="19"/>
      <c r="E56" s="19"/>
      <c r="F56" s="19"/>
    </row>
    <row r="57" spans="1:34" x14ac:dyDescent="0.25">
      <c r="A57" s="1"/>
      <c r="F57" s="10"/>
    </row>
    <row r="58" spans="1:34" x14ac:dyDescent="0.25">
      <c r="A58" s="1"/>
      <c r="F58" s="10"/>
    </row>
    <row r="59" spans="1:34" x14ac:dyDescent="0.25">
      <c r="A59" s="1"/>
      <c r="F59" s="11"/>
      <c r="O59" s="42" t="s">
        <v>40</v>
      </c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</row>
    <row r="60" spans="1:34" x14ac:dyDescent="0.25">
      <c r="O60" s="41" t="s">
        <v>35</v>
      </c>
      <c r="P60" s="41"/>
      <c r="Q60" s="41"/>
      <c r="R60" s="41"/>
      <c r="S60" s="41"/>
      <c r="U60" s="40" t="s">
        <v>42</v>
      </c>
      <c r="V60" s="40"/>
      <c r="W60" s="40"/>
      <c r="X60" s="40"/>
      <c r="Z60" s="40" t="s">
        <v>43</v>
      </c>
      <c r="AA60" s="40"/>
      <c r="AB60" s="40"/>
      <c r="AC60" s="40"/>
      <c r="AE60" s="40" t="s">
        <v>44</v>
      </c>
      <c r="AF60" s="40"/>
      <c r="AG60" s="40"/>
      <c r="AH60" s="40"/>
    </row>
    <row r="61" spans="1:34" x14ac:dyDescent="0.25">
      <c r="A61" t="s">
        <v>5</v>
      </c>
      <c r="B61" t="s">
        <v>6</v>
      </c>
      <c r="C61" t="s">
        <v>7</v>
      </c>
      <c r="D61" t="s">
        <v>8</v>
      </c>
      <c r="E61" t="s">
        <v>30</v>
      </c>
      <c r="F61" t="s">
        <v>34</v>
      </c>
      <c r="H61" t="s">
        <v>5</v>
      </c>
      <c r="I61" t="s">
        <v>6</v>
      </c>
      <c r="J61" t="s">
        <v>7</v>
      </c>
      <c r="K61" t="s">
        <v>8</v>
      </c>
      <c r="L61" t="s">
        <v>31</v>
      </c>
      <c r="M61" t="s">
        <v>34</v>
      </c>
      <c r="O61" t="s">
        <v>5</v>
      </c>
      <c r="P61" t="s">
        <v>6</v>
      </c>
      <c r="Q61" t="s">
        <v>7</v>
      </c>
      <c r="R61" t="s">
        <v>8</v>
      </c>
      <c r="S61" t="s">
        <v>32</v>
      </c>
      <c r="U61" t="s">
        <v>5</v>
      </c>
      <c r="V61" t="s">
        <v>6</v>
      </c>
      <c r="W61" t="s">
        <v>7</v>
      </c>
      <c r="X61" t="s">
        <v>8</v>
      </c>
      <c r="Z61" s="28" t="s">
        <v>5</v>
      </c>
      <c r="AA61" s="28" t="s">
        <v>6</v>
      </c>
      <c r="AB61" s="28" t="s">
        <v>7</v>
      </c>
      <c r="AC61" s="28" t="s">
        <v>8</v>
      </c>
      <c r="AE61" s="28" t="s">
        <v>5</v>
      </c>
      <c r="AF61" s="28" t="s">
        <v>6</v>
      </c>
      <c r="AG61" s="28" t="s">
        <v>7</v>
      </c>
      <c r="AH61" s="28" t="s">
        <v>8</v>
      </c>
    </row>
    <row r="62" spans="1:34" x14ac:dyDescent="0.25">
      <c r="A62" s="23">
        <v>0</v>
      </c>
      <c r="B62" s="23">
        <v>0</v>
      </c>
      <c r="C62" s="23">
        <v>0</v>
      </c>
      <c r="D62" s="23" t="s">
        <v>41</v>
      </c>
      <c r="E62">
        <f>1</f>
        <v>1</v>
      </c>
      <c r="F62" s="23">
        <f>IF(Tabla1X[[#This Row],[A]] = "X", 1, IF(Tabla1X[[#This Row],[B]] = "X", 2, IF(Tabla1X[[#This Row],[C]] = "X", 3, 4)) )</f>
        <v>4</v>
      </c>
      <c r="H62" s="23">
        <v>0</v>
      </c>
      <c r="I62" s="23">
        <v>0</v>
      </c>
      <c r="J62" s="23" t="s">
        <v>41</v>
      </c>
      <c r="K62" s="23" t="s">
        <v>41</v>
      </c>
      <c r="L62">
        <f>1</f>
        <v>1</v>
      </c>
      <c r="M62" s="23">
        <f>IF(Tabla2X[[#This Row],[A]] = "X", 1, IF(Tabla2X[[#This Row],[B]] = "X", 2, IF(Tabla2X[[#This Row],[C]] = "X", 3, 4)) )</f>
        <v>3</v>
      </c>
      <c r="O62" s="23"/>
      <c r="P62" s="23"/>
      <c r="Q62" s="23"/>
      <c r="R62" s="23"/>
      <c r="S62">
        <f>1</f>
        <v>1</v>
      </c>
      <c r="U62" s="25"/>
      <c r="V62" s="25"/>
      <c r="W62" s="25"/>
      <c r="X62" s="25"/>
      <c r="Z62" s="25" t="s">
        <v>41</v>
      </c>
      <c r="AA62" s="25">
        <v>0</v>
      </c>
      <c r="AB62" s="25">
        <v>1</v>
      </c>
      <c r="AC62" s="25">
        <v>1</v>
      </c>
      <c r="AE62" s="25">
        <v>0</v>
      </c>
      <c r="AF62" s="25">
        <v>0</v>
      </c>
      <c r="AG62" s="25" t="s">
        <v>41</v>
      </c>
      <c r="AH62" s="25" t="s">
        <v>41</v>
      </c>
    </row>
    <row r="63" spans="1:34" x14ac:dyDescent="0.25">
      <c r="A63" s="23">
        <v>0</v>
      </c>
      <c r="B63" s="23">
        <v>0</v>
      </c>
      <c r="C63" s="23" t="s">
        <v>41</v>
      </c>
      <c r="D63" s="23">
        <v>0</v>
      </c>
      <c r="E63">
        <f>1</f>
        <v>1</v>
      </c>
      <c r="F63" s="23">
        <f>IF(Tabla1X[[#This Row],[A]] = "X", 1, IF(Tabla1X[[#This Row],[B]] = "X", 2, IF(Tabla1X[[#This Row],[C]] = "X", 3, 4)) )</f>
        <v>3</v>
      </c>
      <c r="H63" s="23">
        <v>0</v>
      </c>
      <c r="I63" s="23" t="s">
        <v>41</v>
      </c>
      <c r="J63" s="23">
        <v>0</v>
      </c>
      <c r="K63" s="23" t="s">
        <v>41</v>
      </c>
      <c r="L63">
        <f>1</f>
        <v>1</v>
      </c>
      <c r="M63" s="23">
        <f>IF(Tabla2X[[#This Row],[A]] = "X", 1, IF(Tabla2X[[#This Row],[B]] = "X", 2, IF(Tabla2X[[#This Row],[C]] = "X", 3, 4)) )</f>
        <v>2</v>
      </c>
      <c r="O63" s="23"/>
      <c r="P63" s="23"/>
      <c r="Q63" s="23"/>
      <c r="R63" s="23"/>
      <c r="S63">
        <f>1</f>
        <v>1</v>
      </c>
      <c r="U63" s="25"/>
      <c r="V63" s="25"/>
      <c r="W63" s="25"/>
      <c r="X63" s="25"/>
      <c r="Z63" s="29"/>
      <c r="AA63" s="29"/>
      <c r="AB63" s="29"/>
      <c r="AC63" s="29"/>
      <c r="AE63" s="29">
        <v>0</v>
      </c>
      <c r="AF63" s="29" t="s">
        <v>41</v>
      </c>
      <c r="AG63" s="29">
        <v>0</v>
      </c>
      <c r="AH63" s="29" t="s">
        <v>41</v>
      </c>
    </row>
    <row r="64" spans="1:34" x14ac:dyDescent="0.25">
      <c r="A64" s="23">
        <v>0</v>
      </c>
      <c r="B64" s="23" t="s">
        <v>41</v>
      </c>
      <c r="C64" s="23">
        <v>0</v>
      </c>
      <c r="D64" s="23">
        <v>0</v>
      </c>
      <c r="E64">
        <f>1</f>
        <v>1</v>
      </c>
      <c r="F64" s="23">
        <f>IF(Tabla1X[[#This Row],[A]] = "X", 1, IF(Tabla1X[[#This Row],[B]] = "X", 2, IF(Tabla1X[[#This Row],[C]] = "X", 3, 4)) )</f>
        <v>2</v>
      </c>
      <c r="H64" s="23">
        <v>0</v>
      </c>
      <c r="I64" s="23" t="s">
        <v>41</v>
      </c>
      <c r="J64" s="23" t="s">
        <v>41</v>
      </c>
      <c r="K64" s="23">
        <v>0</v>
      </c>
      <c r="L64">
        <f>1</f>
        <v>1</v>
      </c>
      <c r="M64" s="23">
        <f>IF(Tabla2X[[#This Row],[A]] = "X", 1, IF(Tabla2X[[#This Row],[B]] = "X", 2, IF(Tabla2X[[#This Row],[C]] = "X", 3, 4)) )</f>
        <v>2</v>
      </c>
      <c r="O64" s="23"/>
      <c r="P64" s="23"/>
      <c r="Q64" s="23"/>
      <c r="R64" s="23"/>
      <c r="S64">
        <f>1</f>
        <v>1</v>
      </c>
      <c r="U64" s="25"/>
      <c r="V64" s="25"/>
      <c r="W64" s="25"/>
      <c r="X64" s="25"/>
      <c r="Z64" s="30"/>
      <c r="AA64" s="30"/>
      <c r="AB64" s="30"/>
      <c r="AC64" s="30"/>
      <c r="AE64" s="30">
        <v>0</v>
      </c>
      <c r="AF64" s="30" t="s">
        <v>41</v>
      </c>
      <c r="AG64" s="30" t="s">
        <v>41</v>
      </c>
      <c r="AH64" s="30">
        <v>0</v>
      </c>
    </row>
    <row r="65" spans="1:34" x14ac:dyDescent="0.25">
      <c r="A65" s="23" t="s">
        <v>41</v>
      </c>
      <c r="B65" s="23">
        <v>0</v>
      </c>
      <c r="C65" s="23">
        <v>0</v>
      </c>
      <c r="D65" s="23">
        <v>0</v>
      </c>
      <c r="E65">
        <f>1</f>
        <v>1</v>
      </c>
      <c r="F65" s="23">
        <f>IF(Tabla1X[[#This Row],[A]] = "X", 1, IF(Tabla1X[[#This Row],[B]] = "X", 2, IF(Tabla1X[[#This Row],[C]] = "X", 3, 4)) )</f>
        <v>1</v>
      </c>
      <c r="H65" s="23" t="s">
        <v>41</v>
      </c>
      <c r="I65" s="23" t="s">
        <v>41</v>
      </c>
      <c r="J65" s="23">
        <v>0</v>
      </c>
      <c r="K65" s="23">
        <v>0</v>
      </c>
      <c r="L65">
        <f>1</f>
        <v>1</v>
      </c>
      <c r="M65" s="23">
        <f>IF(Tabla2X[[#This Row],[A]] = "X", 1, IF(Tabla2X[[#This Row],[B]] = "X", 2, IF(Tabla2X[[#This Row],[C]] = "X", 3, 4)) )</f>
        <v>1</v>
      </c>
      <c r="O65" s="23"/>
      <c r="P65" s="23"/>
      <c r="Q65" s="23"/>
      <c r="R65" s="23"/>
      <c r="S65">
        <f>1</f>
        <v>1</v>
      </c>
      <c r="U65" s="25"/>
      <c r="V65" s="25"/>
      <c r="W65" s="25"/>
      <c r="X65" s="25"/>
      <c r="Z65" s="29"/>
      <c r="AA65" s="29"/>
      <c r="AB65" s="29"/>
      <c r="AC65" s="29"/>
      <c r="AE65" s="29" t="s">
        <v>41</v>
      </c>
      <c r="AF65" s="29" t="s">
        <v>41</v>
      </c>
      <c r="AG65" s="29">
        <v>0</v>
      </c>
      <c r="AH65" s="29">
        <v>0</v>
      </c>
    </row>
    <row r="66" spans="1:34" x14ac:dyDescent="0.25">
      <c r="A66" s="23">
        <v>0</v>
      </c>
      <c r="B66" s="23">
        <v>0</v>
      </c>
      <c r="C66" s="23" t="s">
        <v>41</v>
      </c>
      <c r="D66" s="23">
        <v>1</v>
      </c>
      <c r="E66">
        <f>1</f>
        <v>1</v>
      </c>
      <c r="F66" s="23">
        <f>IF(Tabla1X[[#This Row],[A]] = "X", 1, IF(Tabla1X[[#This Row],[B]] = "X", 2, IF(Tabla1X[[#This Row],[C]] = "X", 3, 4)) )</f>
        <v>3</v>
      </c>
      <c r="H66" s="23" t="s">
        <v>41</v>
      </c>
      <c r="I66" s="23">
        <v>1</v>
      </c>
      <c r="J66" s="23">
        <v>0</v>
      </c>
      <c r="K66" s="23" t="s">
        <v>41</v>
      </c>
      <c r="L66">
        <f>1</f>
        <v>1</v>
      </c>
      <c r="M66" s="23">
        <f>IF(Tabla2X[[#This Row],[A]] = "X", 1, IF(Tabla2X[[#This Row],[B]] = "X", 2, IF(Tabla2X[[#This Row],[C]] = "X", 3, 4)) )</f>
        <v>1</v>
      </c>
      <c r="O66" s="23"/>
      <c r="P66" s="23"/>
      <c r="Q66" s="23"/>
      <c r="R66" s="23"/>
      <c r="S66">
        <f>1</f>
        <v>1</v>
      </c>
      <c r="U66" s="25"/>
      <c r="V66" s="25"/>
      <c r="W66" s="25"/>
      <c r="X66" s="25"/>
      <c r="Z66" s="30"/>
      <c r="AA66" s="30"/>
      <c r="AB66" s="30"/>
      <c r="AC66" s="30"/>
      <c r="AE66" s="30" t="s">
        <v>41</v>
      </c>
      <c r="AF66" s="30">
        <v>1</v>
      </c>
      <c r="AG66" s="30">
        <v>0</v>
      </c>
      <c r="AH66" s="30" t="s">
        <v>41</v>
      </c>
    </row>
    <row r="67" spans="1:34" x14ac:dyDescent="0.25">
      <c r="A67" s="23">
        <v>0</v>
      </c>
      <c r="B67" s="23" t="s">
        <v>41</v>
      </c>
      <c r="C67" s="23">
        <v>0</v>
      </c>
      <c r="D67" s="23">
        <v>1</v>
      </c>
      <c r="E67">
        <f>1</f>
        <v>1</v>
      </c>
      <c r="F67" s="23">
        <f>IF(Tabla1X[[#This Row],[A]] = "X", 1, IF(Tabla1X[[#This Row],[B]] = "X", 2, IF(Tabla1X[[#This Row],[C]] = "X", 3, 4)) )</f>
        <v>2</v>
      </c>
      <c r="H67" s="23" t="s">
        <v>41</v>
      </c>
      <c r="I67" s="23">
        <v>1</v>
      </c>
      <c r="J67" s="23" t="s">
        <v>41</v>
      </c>
      <c r="K67" s="23">
        <v>0</v>
      </c>
      <c r="L67">
        <f>1</f>
        <v>1</v>
      </c>
      <c r="M67" s="23">
        <f>IF(Tabla2X[[#This Row],[A]] = "X", 1, IF(Tabla2X[[#This Row],[B]] = "X", 2, IF(Tabla2X[[#This Row],[C]] = "X", 3, 4)) )</f>
        <v>1</v>
      </c>
      <c r="O67" s="23"/>
      <c r="P67" s="23"/>
      <c r="Q67" s="23"/>
      <c r="R67" s="23"/>
      <c r="S67">
        <f>1</f>
        <v>1</v>
      </c>
      <c r="U67" s="25"/>
      <c r="V67" s="25"/>
      <c r="W67" s="25"/>
      <c r="X67" s="25"/>
      <c r="Z67" s="29"/>
      <c r="AA67" s="29"/>
      <c r="AB67" s="29"/>
      <c r="AC67" s="29"/>
      <c r="AE67" s="29" t="s">
        <v>41</v>
      </c>
      <c r="AF67" s="29">
        <v>1</v>
      </c>
      <c r="AG67" s="29" t="s">
        <v>41</v>
      </c>
      <c r="AH67" s="29">
        <v>0</v>
      </c>
    </row>
    <row r="68" spans="1:34" x14ac:dyDescent="0.25">
      <c r="A68" s="23">
        <v>0</v>
      </c>
      <c r="B68" s="23">
        <v>0</v>
      </c>
      <c r="C68" s="23">
        <v>1</v>
      </c>
      <c r="D68" s="23" t="s">
        <v>41</v>
      </c>
      <c r="E68">
        <f>1</f>
        <v>1</v>
      </c>
      <c r="F68" s="23">
        <f>IF(Tabla1X[[#This Row],[A]] = "X", 1, IF(Tabla1X[[#This Row],[B]] = "X", 2, IF(Tabla1X[[#This Row],[C]] = "X", 3, 4)) )</f>
        <v>4</v>
      </c>
      <c r="H68" s="23"/>
      <c r="I68" s="23"/>
      <c r="J68" s="23"/>
      <c r="K68" s="23"/>
      <c r="L68">
        <f>1</f>
        <v>1</v>
      </c>
      <c r="M68" s="23">
        <f>IF(Tabla2X[[#This Row],[A]] = "X", 1, IF(Tabla2X[[#This Row],[B]] = "X", 2, IF(Tabla2X[[#This Row],[C]] = "X", 3, 4)) )</f>
        <v>4</v>
      </c>
      <c r="O68" s="23"/>
      <c r="P68" s="23"/>
      <c r="Q68" s="23"/>
      <c r="R68" s="23"/>
      <c r="S68">
        <f>1</f>
        <v>1</v>
      </c>
      <c r="U68" s="25"/>
      <c r="V68" s="25"/>
      <c r="W68" s="25"/>
      <c r="X68" s="25"/>
      <c r="Z68" s="30"/>
      <c r="AA68" s="30"/>
      <c r="AB68" s="30"/>
      <c r="AC68" s="30"/>
      <c r="AE68" s="30"/>
      <c r="AF68" s="30"/>
      <c r="AG68" s="30"/>
      <c r="AH68" s="30"/>
    </row>
    <row r="69" spans="1:34" x14ac:dyDescent="0.25">
      <c r="A69" s="23">
        <v>0</v>
      </c>
      <c r="B69" s="23" t="s">
        <v>41</v>
      </c>
      <c r="C69" s="23">
        <v>1</v>
      </c>
      <c r="D69" s="23">
        <v>0</v>
      </c>
      <c r="E69">
        <f>1</f>
        <v>1</v>
      </c>
      <c r="F69" s="23">
        <f>IF(Tabla1X[[#This Row],[A]] = "X", 1, IF(Tabla1X[[#This Row],[B]] = "X", 2, IF(Tabla1X[[#This Row],[C]] = "X", 3, 4)) )</f>
        <v>2</v>
      </c>
      <c r="H69" s="23"/>
      <c r="I69" s="23"/>
      <c r="J69" s="23"/>
      <c r="K69" s="23"/>
      <c r="L69">
        <f>1</f>
        <v>1</v>
      </c>
      <c r="M69" s="23">
        <f>IF(Tabla2X[[#This Row],[A]] = "X", 1, IF(Tabla2X[[#This Row],[B]] = "X", 2, IF(Tabla2X[[#This Row],[C]] = "X", 3, 4)) )</f>
        <v>4</v>
      </c>
      <c r="O69" s="23"/>
      <c r="P69" s="23"/>
      <c r="Q69" s="23"/>
      <c r="R69" s="23"/>
      <c r="S69">
        <f>1</f>
        <v>1</v>
      </c>
      <c r="U69" s="25"/>
      <c r="V69" s="25"/>
      <c r="W69" s="25"/>
      <c r="X69" s="25"/>
      <c r="Z69" s="29"/>
      <c r="AA69" s="29"/>
      <c r="AB69" s="29"/>
      <c r="AC69" s="29"/>
      <c r="AE69" s="29"/>
      <c r="AF69" s="29"/>
      <c r="AG69" s="29"/>
      <c r="AH69" s="29"/>
    </row>
    <row r="70" spans="1:34" x14ac:dyDescent="0.25">
      <c r="A70" s="23" t="s">
        <v>41</v>
      </c>
      <c r="B70" s="23">
        <v>0</v>
      </c>
      <c r="C70" s="23">
        <v>1</v>
      </c>
      <c r="D70" s="23">
        <v>1</v>
      </c>
      <c r="E70">
        <f>1</f>
        <v>1</v>
      </c>
      <c r="F70" s="23">
        <f>IF(Tabla1X[[#This Row],[A]] = "X", 1, IF(Tabla1X[[#This Row],[B]] = "X", 2, IF(Tabla1X[[#This Row],[C]] = "X", 3, 4)) )</f>
        <v>1</v>
      </c>
      <c r="H70" s="23"/>
      <c r="I70" s="23"/>
      <c r="J70" s="23"/>
      <c r="K70" s="23"/>
      <c r="L70">
        <f>1</f>
        <v>1</v>
      </c>
      <c r="M70" s="23">
        <f>IF(Tabla2X[[#This Row],[A]] = "X", 1, IF(Tabla2X[[#This Row],[B]] = "X", 2, IF(Tabla2X[[#This Row],[C]] = "X", 3, 4)) )</f>
        <v>4</v>
      </c>
      <c r="O70" s="23"/>
      <c r="P70" s="23"/>
      <c r="Q70" s="23"/>
      <c r="R70" s="23"/>
      <c r="S70">
        <f>1</f>
        <v>1</v>
      </c>
      <c r="U70" s="25"/>
      <c r="V70" s="25"/>
      <c r="W70" s="25"/>
      <c r="X70" s="25"/>
      <c r="Z70" s="30"/>
      <c r="AA70" s="30"/>
      <c r="AB70" s="30"/>
      <c r="AC70" s="30"/>
      <c r="AE70" s="30"/>
      <c r="AF70" s="30"/>
      <c r="AG70" s="30"/>
      <c r="AH70" s="30"/>
    </row>
    <row r="71" spans="1:34" x14ac:dyDescent="0.25">
      <c r="A71" s="23">
        <v>0</v>
      </c>
      <c r="B71" s="23">
        <v>1</v>
      </c>
      <c r="C71" s="23">
        <v>0</v>
      </c>
      <c r="D71" s="23" t="s">
        <v>41</v>
      </c>
      <c r="E71">
        <f>1</f>
        <v>1</v>
      </c>
      <c r="F71" s="23">
        <f>IF(Tabla1X[[#This Row],[A]] = "X", 1, IF(Tabla1X[[#This Row],[B]] = "X", 2, IF(Tabla1X[[#This Row],[C]] = "X", 3, 4)) )</f>
        <v>4</v>
      </c>
      <c r="H71" s="23"/>
      <c r="I71" s="23"/>
      <c r="J71" s="23"/>
      <c r="K71" s="23"/>
      <c r="L71">
        <f>1</f>
        <v>1</v>
      </c>
      <c r="M71" s="23">
        <f>IF(Tabla2X[[#This Row],[A]] = "X", 1, IF(Tabla2X[[#This Row],[B]] = "X", 2, IF(Tabla2X[[#This Row],[C]] = "X", 3, 4)) )</f>
        <v>4</v>
      </c>
      <c r="U71" s="25"/>
      <c r="V71" s="25"/>
      <c r="W71" s="25"/>
      <c r="X71" s="25"/>
      <c r="Z71" s="29"/>
      <c r="AA71" s="29"/>
      <c r="AB71" s="29"/>
      <c r="AC71" s="29"/>
      <c r="AE71" s="29"/>
      <c r="AF71" s="29"/>
      <c r="AG71" s="29"/>
      <c r="AH71" s="29"/>
    </row>
    <row r="72" spans="1:34" x14ac:dyDescent="0.25">
      <c r="A72" s="23">
        <v>0</v>
      </c>
      <c r="B72" s="23">
        <v>1</v>
      </c>
      <c r="C72" s="23" t="s">
        <v>41</v>
      </c>
      <c r="D72" s="23">
        <v>0</v>
      </c>
      <c r="E72">
        <f>1</f>
        <v>1</v>
      </c>
      <c r="F72" s="23">
        <f>IF(Tabla1X[[#This Row],[A]] = "X", 1, IF(Tabla1X[[#This Row],[B]] = "X", 2, IF(Tabla1X[[#This Row],[C]] = "X", 3, 4)) )</f>
        <v>3</v>
      </c>
      <c r="H72" s="23"/>
      <c r="I72" s="23"/>
      <c r="J72" s="23"/>
      <c r="K72" s="23"/>
      <c r="L72">
        <f>1</f>
        <v>1</v>
      </c>
      <c r="M72" s="23">
        <f>IF(Tabla2X[[#This Row],[A]] = "X", 1, IF(Tabla2X[[#This Row],[B]] = "X", 2, IF(Tabla2X[[#This Row],[C]] = "X", 3, 4)) )</f>
        <v>4</v>
      </c>
      <c r="U72" s="25"/>
      <c r="V72" s="25"/>
      <c r="W72" s="25"/>
      <c r="X72" s="25"/>
      <c r="Z72" s="31"/>
      <c r="AA72" s="31"/>
      <c r="AB72" s="31"/>
      <c r="AC72" s="31"/>
      <c r="AE72" s="31"/>
      <c r="AF72" s="31"/>
      <c r="AG72" s="31"/>
      <c r="AH72" s="31"/>
    </row>
    <row r="73" spans="1:34" x14ac:dyDescent="0.25">
      <c r="A73" s="23" t="s">
        <v>41</v>
      </c>
      <c r="B73" s="23">
        <v>1</v>
      </c>
      <c r="C73" s="23">
        <v>0</v>
      </c>
      <c r="D73" s="23">
        <v>0</v>
      </c>
      <c r="E73">
        <f>1</f>
        <v>1</v>
      </c>
      <c r="F73" s="23">
        <f>IF(Tabla1X[[#This Row],[A]] = "X", 1, IF(Tabla1X[[#This Row],[B]] = "X", 2, IF(Tabla1X[[#This Row],[C]] = "X", 3, 4)) )</f>
        <v>1</v>
      </c>
      <c r="H73" s="23"/>
      <c r="I73" s="23"/>
      <c r="J73" s="23"/>
      <c r="K73" s="23"/>
      <c r="L73">
        <f>1</f>
        <v>1</v>
      </c>
      <c r="M73" s="23">
        <f>IF(Tabla2X[[#This Row],[A]] = "X", 1, IF(Tabla2X[[#This Row],[B]] = "X", 2, IF(Tabla2X[[#This Row],[C]] = "X", 3, 4)) )</f>
        <v>4</v>
      </c>
      <c r="U73" s="25"/>
      <c r="V73" s="25"/>
      <c r="W73" s="25"/>
      <c r="X73" s="25"/>
      <c r="Z73" s="31"/>
      <c r="AA73" s="31"/>
      <c r="AB73" s="31"/>
      <c r="AC73" s="31"/>
      <c r="AE73" s="32"/>
      <c r="AF73" s="30"/>
      <c r="AG73" s="30"/>
      <c r="AH73" s="33"/>
    </row>
    <row r="74" spans="1:34" x14ac:dyDescent="0.25">
      <c r="A74" s="23" t="s">
        <v>41</v>
      </c>
      <c r="B74" s="23">
        <v>1</v>
      </c>
      <c r="C74" s="23">
        <v>0</v>
      </c>
      <c r="D74" s="23">
        <v>1</v>
      </c>
      <c r="E74">
        <f>1</f>
        <v>1</v>
      </c>
      <c r="F74" s="23">
        <f>IF(Tabla1X[[#This Row],[A]] = "X", 1, IF(Tabla1X[[#This Row],[B]] = "X", 2, IF(Tabla1X[[#This Row],[C]] = "X", 3, 4)) )</f>
        <v>1</v>
      </c>
      <c r="H74" s="23"/>
      <c r="I74" s="23"/>
      <c r="J74" s="23"/>
      <c r="K74" s="23"/>
      <c r="L74">
        <f>1</f>
        <v>1</v>
      </c>
      <c r="M74" s="23">
        <f>IF(Tabla2X[[#This Row],[A]] = "X", 1, IF(Tabla2X[[#This Row],[B]] = "X", 2, IF(Tabla2X[[#This Row],[C]] = "X", 3, 4)) )</f>
        <v>4</v>
      </c>
      <c r="U74" s="25"/>
      <c r="V74" s="25"/>
      <c r="W74" s="25"/>
      <c r="X74" s="25"/>
      <c r="Z74" s="36"/>
      <c r="AA74" s="36"/>
      <c r="AB74" s="36"/>
      <c r="AC74" s="36"/>
      <c r="AE74" s="34"/>
      <c r="AF74" s="29"/>
      <c r="AG74" s="29"/>
      <c r="AH74" s="35"/>
    </row>
    <row r="75" spans="1:34" x14ac:dyDescent="0.25">
      <c r="A75" s="23" t="s">
        <v>41</v>
      </c>
      <c r="B75" s="23">
        <v>1</v>
      </c>
      <c r="C75" s="23">
        <v>1</v>
      </c>
      <c r="D75" s="23">
        <v>0</v>
      </c>
      <c r="E75">
        <f>1</f>
        <v>1</v>
      </c>
      <c r="F75" s="23">
        <f>IF(Tabla1X[[#This Row],[A]] = "X", 1, IF(Tabla1X[[#This Row],[B]] = "X", 2, IF(Tabla1X[[#This Row],[C]] = "X", 3, 4)) )</f>
        <v>1</v>
      </c>
      <c r="H75" s="23"/>
      <c r="I75" s="23"/>
      <c r="J75" s="23"/>
      <c r="K75" s="23"/>
      <c r="L75">
        <f>1</f>
        <v>1</v>
      </c>
      <c r="M75" s="23">
        <f>IF(Tabla2X[[#This Row],[A]] = "X", 1, IF(Tabla2X[[#This Row],[B]] = "X", 2, IF(Tabla2X[[#This Row],[C]] = "X", 3, 4)) )</f>
        <v>4</v>
      </c>
      <c r="U75" s="25"/>
      <c r="V75" s="25"/>
      <c r="W75" s="25"/>
      <c r="X75" s="25"/>
      <c r="Z75" s="31"/>
      <c r="AA75" s="31"/>
      <c r="AB75" s="31"/>
      <c r="AC75" s="31"/>
      <c r="AE75" s="32"/>
      <c r="AF75" s="30"/>
      <c r="AG75" s="30"/>
      <c r="AH75" s="33"/>
    </row>
    <row r="76" spans="1:34" x14ac:dyDescent="0.25">
      <c r="A76" s="23">
        <v>1</v>
      </c>
      <c r="B76" s="23" t="s">
        <v>41</v>
      </c>
      <c r="C76" s="23">
        <v>0</v>
      </c>
      <c r="D76" s="23">
        <v>0</v>
      </c>
      <c r="E76">
        <f>1</f>
        <v>1</v>
      </c>
      <c r="F76" s="23">
        <f>IF(Tabla1X[[#This Row],[A]] = "X", 1, IF(Tabla1X[[#This Row],[B]] = "X", 2, IF(Tabla1X[[#This Row],[C]] = "X", 3, 4)) )</f>
        <v>2</v>
      </c>
      <c r="H76" s="23"/>
      <c r="I76" s="23"/>
      <c r="J76" s="23"/>
      <c r="K76" s="23"/>
      <c r="L76">
        <f>1</f>
        <v>1</v>
      </c>
      <c r="M76" s="23">
        <f>IF(Tabla2X[[#This Row],[A]] = "X", 1, IF(Tabla2X[[#This Row],[B]] = "X", 2, IF(Tabla2X[[#This Row],[C]] = "X", 3, 4)) )</f>
        <v>4</v>
      </c>
      <c r="U76" s="25"/>
      <c r="V76" s="25"/>
      <c r="W76" s="25"/>
      <c r="X76" s="25"/>
      <c r="Z76" s="36"/>
      <c r="AA76" s="36"/>
      <c r="AB76" s="36"/>
      <c r="AC76" s="36"/>
      <c r="AE76" s="34"/>
      <c r="AF76" s="29"/>
      <c r="AG76" s="29"/>
      <c r="AH76" s="35"/>
    </row>
    <row r="77" spans="1:34" x14ac:dyDescent="0.25">
      <c r="A77" s="23">
        <v>1</v>
      </c>
      <c r="B77" s="23">
        <v>1</v>
      </c>
      <c r="C77" s="23">
        <v>0</v>
      </c>
      <c r="D77" s="23" t="s">
        <v>41</v>
      </c>
      <c r="E77">
        <f>1</f>
        <v>1</v>
      </c>
      <c r="F77" s="23">
        <f>IF(Tabla1X[[#This Row],[A]] = "X", 1, IF(Tabla1X[[#This Row],[B]] = "X", 2, IF(Tabla1X[[#This Row],[C]] = "X", 3, 4)) )</f>
        <v>4</v>
      </c>
      <c r="H77" s="23"/>
      <c r="I77" s="23"/>
      <c r="J77" s="23"/>
      <c r="K77" s="23"/>
      <c r="L77">
        <f>1</f>
        <v>1</v>
      </c>
      <c r="M77" s="23">
        <f>IF(Tabla2X[[#This Row],[A]] = "X", 1, IF(Tabla2X[[#This Row],[B]] = "X", 2, IF(Tabla2X[[#This Row],[C]] = "X", 3, 4)) )</f>
        <v>4</v>
      </c>
      <c r="U77" s="25"/>
      <c r="V77" s="25"/>
      <c r="W77" s="25"/>
      <c r="X77" s="25"/>
      <c r="Z77" s="31"/>
      <c r="AA77" s="31"/>
      <c r="AB77" s="31"/>
      <c r="AC77" s="31"/>
      <c r="AE77" s="32"/>
      <c r="AF77" s="30"/>
      <c r="AG77" s="30"/>
      <c r="AH77" s="33"/>
    </row>
    <row r="78" spans="1:34" x14ac:dyDescent="0.25">
      <c r="A78" s="23">
        <v>1</v>
      </c>
      <c r="B78" s="23">
        <v>1</v>
      </c>
      <c r="C78" s="23" t="s">
        <v>41</v>
      </c>
      <c r="D78" s="23">
        <v>0</v>
      </c>
      <c r="E78">
        <f>1</f>
        <v>1</v>
      </c>
      <c r="F78" s="23">
        <f>IF(Tabla1X[[#This Row],[A]] = "X", 1, IF(Tabla1X[[#This Row],[B]] = "X", 2, IF(Tabla1X[[#This Row],[C]] = "X", 3, 4)) )</f>
        <v>3</v>
      </c>
      <c r="H78" s="23"/>
      <c r="I78" s="23"/>
      <c r="J78" s="23"/>
      <c r="K78" s="23"/>
      <c r="L78">
        <f>1</f>
        <v>1</v>
      </c>
      <c r="M78" s="23">
        <f>IF(Tabla2X[[#This Row],[A]] = "X", 1, IF(Tabla2X[[#This Row],[B]] = "X", 2, IF(Tabla2X[[#This Row],[C]] = "X", 3, 4)) )</f>
        <v>4</v>
      </c>
      <c r="U78" s="25"/>
      <c r="V78" s="25"/>
      <c r="W78" s="25"/>
      <c r="X78" s="25"/>
      <c r="Z78" s="36"/>
      <c r="AA78" s="36"/>
      <c r="AB78" s="36"/>
      <c r="AC78" s="36"/>
      <c r="AE78" s="34"/>
      <c r="AF78" s="29"/>
      <c r="AG78" s="29"/>
      <c r="AH78" s="35"/>
    </row>
    <row r="79" spans="1:34" x14ac:dyDescent="0.25">
      <c r="A79" s="23"/>
      <c r="B79" s="23"/>
      <c r="C79" s="23"/>
      <c r="D79" s="23"/>
      <c r="E79">
        <f>1</f>
        <v>1</v>
      </c>
      <c r="F79" s="23">
        <f>IF(Tabla1X[[#This Row],[A]] = "X", 1, IF(Tabla1X[[#This Row],[B]] = "X", 2, IF(Tabla1X[[#This Row],[C]] = "X", 3, 4)) )</f>
        <v>4</v>
      </c>
      <c r="H79" s="23"/>
      <c r="I79" s="23"/>
      <c r="J79" s="23"/>
      <c r="K79" s="23"/>
      <c r="L79">
        <f>1</f>
        <v>1</v>
      </c>
      <c r="M79" s="23">
        <f>IF(Tabla2X[[#This Row],[A]] = "X", 1, IF(Tabla2X[[#This Row],[B]] = "X", 2, IF(Tabla2X[[#This Row],[C]] = "X", 3, 4)) )</f>
        <v>4</v>
      </c>
      <c r="U79" s="25"/>
      <c r="V79" s="25"/>
      <c r="W79" s="25"/>
      <c r="X79" s="25"/>
      <c r="Z79" s="32"/>
      <c r="AA79" s="30"/>
      <c r="AB79" s="30"/>
      <c r="AC79" s="33"/>
      <c r="AE79" s="32"/>
      <c r="AF79" s="30"/>
      <c r="AG79" s="30"/>
      <c r="AH79" s="33"/>
    </row>
    <row r="80" spans="1:34" x14ac:dyDescent="0.25">
      <c r="A80" s="23"/>
      <c r="B80" s="23"/>
      <c r="C80" s="23"/>
      <c r="D80" s="23"/>
      <c r="E80">
        <f>1</f>
        <v>1</v>
      </c>
      <c r="F80" s="23">
        <f>IF(Tabla1X[[#This Row],[A]] = "X", 1, IF(Tabla1X[[#This Row],[B]] = "X", 2, IF(Tabla1X[[#This Row],[C]] = "X", 3, 4)) )</f>
        <v>4</v>
      </c>
      <c r="H80" s="23"/>
      <c r="I80" s="23"/>
      <c r="J80" s="23"/>
      <c r="K80" s="23"/>
      <c r="L80">
        <f>1</f>
        <v>1</v>
      </c>
      <c r="M80" s="23">
        <f>IF(Tabla2X[[#This Row],[A]] = "X", 1, IF(Tabla2X[[#This Row],[B]] = "X", 2, IF(Tabla2X[[#This Row],[C]] = "X", 3, 4)) )</f>
        <v>4</v>
      </c>
      <c r="U80" s="25"/>
      <c r="V80" s="25"/>
      <c r="W80" s="25"/>
      <c r="X80" s="25"/>
    </row>
    <row r="81" spans="1:24" x14ac:dyDescent="0.25">
      <c r="A81" s="23"/>
      <c r="B81" s="23"/>
      <c r="C81" s="23"/>
      <c r="D81" s="23"/>
      <c r="E81">
        <f>1</f>
        <v>1</v>
      </c>
      <c r="F81" s="23">
        <f>IF(Tabla1X[[#This Row],[A]] = "X", 1, IF(Tabla1X[[#This Row],[B]] = "X", 2, IF(Tabla1X[[#This Row],[C]] = "X", 3, 4)) )</f>
        <v>4</v>
      </c>
      <c r="H81" s="23"/>
      <c r="I81" s="23"/>
      <c r="J81" s="23"/>
      <c r="K81" s="23"/>
      <c r="L81">
        <f>1</f>
        <v>1</v>
      </c>
      <c r="M81" s="23">
        <f>IF(Tabla2X[[#This Row],[A]] = "X", 1, IF(Tabla2X[[#This Row],[B]] = "X", 2, IF(Tabla2X[[#This Row],[C]] = "X", 3, 4)) )</f>
        <v>4</v>
      </c>
      <c r="U81" s="25"/>
      <c r="V81" s="25"/>
      <c r="W81" s="25"/>
      <c r="X81" s="25"/>
    </row>
    <row r="82" spans="1:24" x14ac:dyDescent="0.25">
      <c r="A82" s="23"/>
      <c r="B82" s="23"/>
      <c r="C82" s="23"/>
      <c r="D82" s="23"/>
      <c r="E82">
        <f>1</f>
        <v>1</v>
      </c>
      <c r="F82" s="23">
        <f>IF(Tabla1X[[#This Row],[A]] = "X", 1, IF(Tabla1X[[#This Row],[B]] = "X", 2, IF(Tabla1X[[#This Row],[C]] = "X", 3, 4)) )</f>
        <v>4</v>
      </c>
      <c r="H82" s="23"/>
      <c r="I82" s="23"/>
      <c r="J82" s="23"/>
      <c r="K82" s="23"/>
      <c r="L82">
        <f>1</f>
        <v>1</v>
      </c>
      <c r="M82" s="23">
        <f>IF(Tabla2X[[#This Row],[A]] = "X", 1, IF(Tabla2X[[#This Row],[B]] = "X", 2, IF(Tabla2X[[#This Row],[C]] = "X", 3, 4)) )</f>
        <v>4</v>
      </c>
      <c r="U82" s="25"/>
      <c r="V82" s="25"/>
      <c r="W82" s="25"/>
      <c r="X82" s="25"/>
    </row>
    <row r="83" spans="1:24" x14ac:dyDescent="0.25">
      <c r="A83" s="23"/>
      <c r="B83" s="23"/>
      <c r="C83" s="23"/>
      <c r="D83" s="23"/>
      <c r="E83">
        <f>1</f>
        <v>1</v>
      </c>
      <c r="F83" s="23">
        <f>IF(Tabla1X[[#This Row],[A]] = "X", 1, IF(Tabla1X[[#This Row],[B]] = "X", 2, IF(Tabla1X[[#This Row],[C]] = "X", 3, 4)) )</f>
        <v>4</v>
      </c>
      <c r="H83" s="23"/>
      <c r="I83" s="23"/>
      <c r="J83" s="23"/>
      <c r="K83" s="23"/>
      <c r="L83">
        <f>1</f>
        <v>1</v>
      </c>
      <c r="M83" s="23">
        <f>IF(Tabla2X[[#This Row],[A]] = "X", 1, IF(Tabla2X[[#This Row],[B]] = "X", 2, IF(Tabla2X[[#This Row],[C]] = "X", 3, 4)) )</f>
        <v>4</v>
      </c>
      <c r="U83" s="25"/>
      <c r="V83" s="25"/>
      <c r="W83" s="25"/>
      <c r="X83" s="25"/>
    </row>
    <row r="84" spans="1:24" x14ac:dyDescent="0.25">
      <c r="A84" s="23"/>
      <c r="B84" s="23"/>
      <c r="C84" s="23"/>
      <c r="D84" s="23"/>
      <c r="E84">
        <f>1</f>
        <v>1</v>
      </c>
      <c r="F84" s="23">
        <f>IF(Tabla1X[[#This Row],[A]] = "X", 1, IF(Tabla1X[[#This Row],[B]] = "X", 2, IF(Tabla1X[[#This Row],[C]] = "X", 3, 4)) )</f>
        <v>4</v>
      </c>
      <c r="H84" s="23"/>
      <c r="I84" s="23"/>
      <c r="J84" s="23"/>
      <c r="K84" s="23"/>
      <c r="L84">
        <f>1</f>
        <v>1</v>
      </c>
      <c r="M84" s="23">
        <f>IF(Tabla2X[[#This Row],[A]] = "X", 1, IF(Tabla2X[[#This Row],[B]] = "X", 2, IF(Tabla2X[[#This Row],[C]] = "X", 3, 4)) )</f>
        <v>4</v>
      </c>
      <c r="U84" s="25"/>
      <c r="V84" s="25"/>
      <c r="W84" s="25"/>
      <c r="X84" s="25"/>
    </row>
    <row r="85" spans="1:24" x14ac:dyDescent="0.25">
      <c r="A85" s="23"/>
      <c r="B85" s="23"/>
      <c r="C85" s="23"/>
      <c r="D85" s="23"/>
      <c r="E85">
        <f>1</f>
        <v>1</v>
      </c>
      <c r="F85" s="23">
        <f>IF(Tabla1X[[#This Row],[A]] = "X", 1, IF(Tabla1X[[#This Row],[B]] = "X", 2, IF(Tabla1X[[#This Row],[C]] = "X", 3, 4)) )</f>
        <v>4</v>
      </c>
      <c r="H85" s="23"/>
      <c r="I85" s="23"/>
      <c r="J85" s="23"/>
      <c r="K85" s="23"/>
      <c r="L85">
        <f>1</f>
        <v>1</v>
      </c>
      <c r="M85" s="23">
        <f>IF(Tabla2X[[#This Row],[A]] = "X", 1, IF(Tabla2X[[#This Row],[B]] = "X", 2, IF(Tabla2X[[#This Row],[C]] = "X", 3, 4)) )</f>
        <v>4</v>
      </c>
      <c r="U85" s="25"/>
      <c r="V85" s="25"/>
      <c r="W85" s="25"/>
      <c r="X85" s="25"/>
    </row>
    <row r="86" spans="1:24" x14ac:dyDescent="0.25">
      <c r="A86" s="23"/>
      <c r="B86" s="23"/>
      <c r="C86" s="23"/>
      <c r="D86" s="23"/>
      <c r="E86">
        <f>1</f>
        <v>1</v>
      </c>
      <c r="F86" s="23">
        <f>IF(Tabla1X[[#This Row],[A]] = "X", 1, IF(Tabla1X[[#This Row],[B]] = "X", 2, IF(Tabla1X[[#This Row],[C]] = "X", 3, 4)) )</f>
        <v>4</v>
      </c>
      <c r="H86" s="24"/>
      <c r="I86" s="24"/>
      <c r="J86" s="24"/>
      <c r="K86" s="24"/>
      <c r="U86" s="25"/>
      <c r="V86" s="25"/>
      <c r="W86" s="25"/>
      <c r="X86" s="25"/>
    </row>
    <row r="87" spans="1:24" x14ac:dyDescent="0.25">
      <c r="A87" s="23"/>
      <c r="B87" s="23"/>
      <c r="C87" s="23"/>
      <c r="D87" s="23"/>
      <c r="E87">
        <f>1</f>
        <v>1</v>
      </c>
      <c r="F87" s="23">
        <f>IF(Tabla1X[[#This Row],[A]] = "X", 1, IF(Tabla1X[[#This Row],[B]] = "X", 2, IF(Tabla1X[[#This Row],[C]] = "X", 3, 4)) )</f>
        <v>4</v>
      </c>
      <c r="U87" s="25"/>
      <c r="V87" s="25"/>
      <c r="W87" s="25"/>
      <c r="X87" s="25"/>
    </row>
    <row r="88" spans="1:24" x14ac:dyDescent="0.25">
      <c r="A88" s="23"/>
      <c r="B88" s="23"/>
      <c r="C88" s="23"/>
      <c r="D88" s="23"/>
      <c r="E88">
        <f>1</f>
        <v>1</v>
      </c>
      <c r="F88" s="23">
        <f>IF(Tabla1X[[#This Row],[A]] = "X", 1, IF(Tabla1X[[#This Row],[B]] = "X", 2, IF(Tabla1X[[#This Row],[C]] = "X", 3, 4)) )</f>
        <v>4</v>
      </c>
      <c r="U88" s="25"/>
      <c r="V88" s="25"/>
      <c r="W88" s="25"/>
      <c r="X88" s="25"/>
    </row>
    <row r="89" spans="1:24" x14ac:dyDescent="0.25">
      <c r="A89" s="23"/>
      <c r="B89" s="23"/>
      <c r="C89" s="23"/>
      <c r="D89" s="23"/>
      <c r="E89">
        <f>1</f>
        <v>1</v>
      </c>
      <c r="F89" s="23">
        <f>IF(Tabla1X[[#This Row],[A]] = "X", 1, IF(Tabla1X[[#This Row],[B]] = "X", 2, IF(Tabla1X[[#This Row],[C]] = "X", 3, 4)) )</f>
        <v>4</v>
      </c>
      <c r="U89" s="25"/>
      <c r="V89" s="25"/>
      <c r="W89" s="25"/>
      <c r="X89" s="25"/>
    </row>
    <row r="90" spans="1:24" x14ac:dyDescent="0.25">
      <c r="A90" s="23"/>
      <c r="B90" s="23"/>
      <c r="C90" s="23"/>
      <c r="D90" s="23"/>
      <c r="E90">
        <f>1</f>
        <v>1</v>
      </c>
      <c r="F90" s="23">
        <f>IF(Tabla1X[[#This Row],[A]] = "X", 1, IF(Tabla1X[[#This Row],[B]] = "X", 2, IF(Tabla1X[[#This Row],[C]] = "X", 3, 4)) )</f>
        <v>4</v>
      </c>
      <c r="U90" s="25"/>
      <c r="V90" s="25"/>
      <c r="W90" s="25"/>
      <c r="X90" s="25"/>
    </row>
    <row r="91" spans="1:24" x14ac:dyDescent="0.25">
      <c r="A91" s="23"/>
      <c r="B91" s="23"/>
      <c r="C91" s="23"/>
      <c r="D91" s="23"/>
      <c r="E91">
        <f>1</f>
        <v>1</v>
      </c>
      <c r="F91" s="23">
        <f>IF(Tabla1X[[#This Row],[A]] = "X", 1, IF(Tabla1X[[#This Row],[B]] = "X", 2, IF(Tabla1X[[#This Row],[C]] = "X", 3, 4)) )</f>
        <v>4</v>
      </c>
      <c r="U91" s="25"/>
      <c r="V91" s="25"/>
      <c r="W91" s="25"/>
      <c r="X91" s="25"/>
    </row>
    <row r="92" spans="1:24" x14ac:dyDescent="0.25">
      <c r="A92" s="23"/>
      <c r="B92" s="23"/>
      <c r="C92" s="23"/>
      <c r="D92" s="23"/>
      <c r="E92">
        <f>1</f>
        <v>1</v>
      </c>
      <c r="F92" s="23">
        <f>IF(Tabla1X[[#This Row],[A]] = "X", 1, IF(Tabla1X[[#This Row],[B]] = "X", 2, IF(Tabla1X[[#This Row],[C]] = "X", 3, 4)) )</f>
        <v>4</v>
      </c>
      <c r="U92" s="25"/>
      <c r="V92" s="25"/>
      <c r="W92" s="25"/>
      <c r="X92" s="25"/>
    </row>
    <row r="93" spans="1:24" x14ac:dyDescent="0.25">
      <c r="A93" s="23"/>
      <c r="B93" s="23"/>
      <c r="C93" s="23"/>
      <c r="D93" s="23"/>
      <c r="E93">
        <f>1</f>
        <v>1</v>
      </c>
      <c r="F93" s="23">
        <f>IF(Tabla1X[[#This Row],[A]] = "X", 1, IF(Tabla1X[[#This Row],[B]] = "X", 2, IF(Tabla1X[[#This Row],[C]] = "X", 3, 4)) )</f>
        <v>4</v>
      </c>
      <c r="U93" s="25"/>
      <c r="V93" s="25"/>
      <c r="W93" s="25"/>
      <c r="X93" s="25"/>
    </row>
    <row r="94" spans="1:24" x14ac:dyDescent="0.25">
      <c r="A94" s="24"/>
      <c r="B94" s="24"/>
      <c r="C94" s="24"/>
      <c r="D94" s="24"/>
    </row>
    <row r="102" spans="10:13" x14ac:dyDescent="0.25">
      <c r="J102" s="37"/>
      <c r="K102" s="37"/>
      <c r="L102" s="37"/>
      <c r="M102" s="37"/>
    </row>
  </sheetData>
  <mergeCells count="10">
    <mergeCell ref="Z60:AC60"/>
    <mergeCell ref="AE60:AH60"/>
    <mergeCell ref="O60:S60"/>
    <mergeCell ref="O59:AH59"/>
    <mergeCell ref="AD49:AH49"/>
    <mergeCell ref="J102:M102"/>
    <mergeCell ref="V48:Y48"/>
    <mergeCell ref="G1:H1"/>
    <mergeCell ref="G2:H2"/>
    <mergeCell ref="U60:X60"/>
  </mergeCells>
  <phoneticPr fontId="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8" r:id="rId4" name="CommandButton1">
          <controlPr defaultSize="0" autoLine="0" r:id="rId5">
            <anchor moveWithCells="1">
              <from>
                <xdr:col>7</xdr:col>
                <xdr:colOff>285750</xdr:colOff>
                <xdr:row>56</xdr:row>
                <xdr:rowOff>0</xdr:rowOff>
              </from>
              <to>
                <xdr:col>8</xdr:col>
                <xdr:colOff>228600</xdr:colOff>
                <xdr:row>57</xdr:row>
                <xdr:rowOff>85725</xdr:rowOff>
              </to>
            </anchor>
          </controlPr>
        </control>
      </mc:Choice>
      <mc:Fallback>
        <control shapeId="1088" r:id="rId4" name="CommandButton1"/>
      </mc:Fallback>
    </mc:AlternateContent>
    <mc:AlternateContent xmlns:mc="http://schemas.openxmlformats.org/markup-compatibility/2006">
      <mc:Choice Requires="x14">
        <control shapeId="117992" r:id="rId6" name="Button 81128">
          <controlPr defaultSize="0" print="0" autoFill="0" autoPict="0" macro="[0]!Botón81128_Haga_clic_en">
            <anchor moveWithCells="1" sizeWithCells="1">
              <from>
                <xdr:col>10</xdr:col>
                <xdr:colOff>142875</xdr:colOff>
                <xdr:row>51</xdr:row>
                <xdr:rowOff>9525</xdr:rowOff>
              </from>
              <to>
                <xdr:col>11</xdr:col>
                <xdr:colOff>695325</xdr:colOff>
                <xdr:row>54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993" r:id="rId7" name="Button 81129">
          <controlPr locked="0" defaultSize="0" print="0" autoFill="0" autoPict="0" macro="[0]!Botón81129_Haga_clic_en">
            <anchor moveWithCells="1" sizeWithCells="1">
              <from>
                <xdr:col>10</xdr:col>
                <xdr:colOff>180975</xdr:colOff>
                <xdr:row>48</xdr:row>
                <xdr:rowOff>76200</xdr:rowOff>
              </from>
              <to>
                <xdr:col>11</xdr:col>
                <xdr:colOff>638175</xdr:colOff>
                <xdr:row>50</xdr:row>
                <xdr:rowOff>28575</xdr:rowOff>
              </to>
            </anchor>
          </controlPr>
        </control>
      </mc:Choice>
    </mc:AlternateContent>
  </controls>
  <tableParts count="9"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17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2C1F4-EE21-4C7B-822C-1E3C5FE32B7D}">
  <sheetPr codeName="Hoja3"/>
  <dimension ref="A1:E1"/>
  <sheetViews>
    <sheetView workbookViewId="0">
      <selection sqref="A1:E16"/>
    </sheetView>
  </sheetViews>
  <sheetFormatPr baseColWidth="10" defaultRowHeight="15" x14ac:dyDescent="0.25"/>
  <cols>
    <col min="1" max="5" width="12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6B3CC4-3C94-4E87-A22A-7A4BE04F34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Tabla5</vt:lpstr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Barcenas</dc:creator>
  <cp:lastModifiedBy>Ian Barcenas</cp:lastModifiedBy>
  <dcterms:created xsi:type="dcterms:W3CDTF">2024-04-21T23:37:04Z</dcterms:created>
  <dcterms:modified xsi:type="dcterms:W3CDTF">2024-05-30T02:09:15Z</dcterms:modified>
</cp:coreProperties>
</file>